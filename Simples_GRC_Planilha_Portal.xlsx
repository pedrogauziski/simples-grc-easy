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1.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9.xml.rels" ContentType="application/vnd.openxmlformats-package.relationships+xml"/>
  <Override PartName="/xl/worksheets/_rels/sheet17.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26.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_rels/sheet16.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TOTAIS" sheetId="2" state="visible" r:id="rId4"/>
    <sheet name="0_PERFIL_108" sheetId="3" state="visible" r:id="rId5"/>
    <sheet name="I_ESSENCIAIS_10" sheetId="4" state="visible" r:id="rId6"/>
    <sheet name="II_PACTO_80_ITENS" sheetId="5" state="visible" r:id="rId7"/>
    <sheet name="II_PACTO_COMPL_69" sheetId="6" state="visible" r:id="rId8"/>
    <sheet name="II_PACTO_QPE_76" sheetId="7" state="visible" r:id="rId9"/>
    <sheet name="III_PROETICA_137" sheetId="8" state="visible" r:id="rId10"/>
    <sheet name="III_AREAS_CGU" sheetId="9" state="visible" r:id="rId11"/>
    <sheet name="IV_ISO_COMPL_27" sheetId="10" state="visible" r:id="rId12"/>
    <sheet name="IV_ISO_REAPROV_24" sheetId="11" state="visible" r:id="rId13"/>
    <sheet name="AG_PERFIL_108" sheetId="12" state="visible" r:id="rId14"/>
    <sheet name="AG_CONFORMIDADE_223" sheetId="13" state="visible" r:id="rId15"/>
    <sheet name="AG_ISO_51" sheetId="14" state="visible" r:id="rId16"/>
    <sheet name="LIC_CHECKLIST_14133" sheetId="15" state="visible" r:id="rId17"/>
    <sheet name="LIC_PERGUNTAS" sheetId="16" state="visible" r:id="rId18"/>
    <sheet name="CONF_MATRIZ_108" sheetId="17" state="visible" r:id="rId19"/>
    <sheet name="CONF_REGRAS_42" sheetId="18" state="visible" r:id="rId20"/>
    <sheet name="CONF_DEPENDENCIAS_23" sheetId="19" state="visible" r:id="rId21"/>
    <sheet name="RISCO_PARAMETROS" sheetId="20" state="visible" r:id="rId22"/>
    <sheet name="RISCO_MATRIZ_17" sheetId="21" state="visible" r:id="rId23"/>
    <sheet name="RISCO_ESTRESSE" sheetId="22" state="visible" r:id="rId24"/>
    <sheet name="RISCO_SIMULADOR" sheetId="23" state="visible" r:id="rId25"/>
    <sheet name="RISCO_MAPA_CALOR" sheetId="24" state="visible" r:id="rId26"/>
    <sheet name="SIM_PROETICA" sheetId="25" state="visible" r:id="rId27"/>
    <sheet name="PMO_BIBLIOTECA_25" sheetId="26" state="visible" r:id="rId28"/>
    <sheet name="PMO_PLANO" sheetId="27" state="visible" r:id="rId29"/>
    <sheet name="PMO_COMITE" sheetId="28" state="visible" r:id="rId30"/>
    <sheet name="LEG_ART57" sheetId="29" state="visible" r:id="rId31"/>
    <sheet name="LEG_LEGISLACAO" sheetId="30" state="visible" r:id="rId32"/>
  </sheets>
  <definedNames>
    <definedName function="false" hidden="true" localSheetId="2" name="_xlnm._FilterDatabase" vbProcedure="false">0_PERFIL_108!$A$4:$K$112</definedName>
    <definedName function="false" hidden="true" localSheetId="12" name="_xlnm._FilterDatabase" vbProcedure="false">AG_CONFORMIDADE_223!$A$4:$Z$227</definedName>
    <definedName function="false" hidden="true" localSheetId="13" name="_xlnm._FilterDatabase" vbProcedure="false">AG_ISO_51!$A$4:$W$55</definedName>
    <definedName function="false" hidden="true" localSheetId="11" name="_xlnm._FilterDatabase" vbProcedure="false">AG_PERFIL_108!$A$4:$S$112</definedName>
    <definedName function="false" hidden="true" localSheetId="18" name="_xlnm._FilterDatabase" vbProcedure="false">CONF_DEPENDENCIAS_23!$A$4:$G$27</definedName>
    <definedName function="false" hidden="true" localSheetId="16" name="_xlnm._FilterDatabase" vbProcedure="false">CONF_MATRIZ_108!$A$4:$K$112</definedName>
    <definedName function="false" hidden="true" localSheetId="17" name="_xlnm._FilterDatabase" vbProcedure="false">CONF_REGRAS_42!$A$4:$J$46</definedName>
    <definedName function="false" hidden="true" localSheetId="3" name="_xlnm._FilterDatabase" vbProcedure="false">I_ESSENCIAIS_10!$A$4:$P$14</definedName>
    <definedName function="false" hidden="true" localSheetId="4" name="_xlnm._FilterDatabase" vbProcedure="false">II_PACTO_80_ITENS!$A$4:$I$84</definedName>
    <definedName function="false" hidden="true" localSheetId="5" name="_xlnm._FilterDatabase" vbProcedure="false">II_PACTO_COMPL_69!$A$4:$G$73</definedName>
    <definedName function="false" hidden="true" localSheetId="6" name="_xlnm._FilterDatabase" vbProcedure="false">II_PACTO_QPE_76!$A$4:$P$80</definedName>
    <definedName function="false" hidden="true" localSheetId="8" name="_xlnm._FilterDatabase" vbProcedure="false">III_AREAS_CGU!$A$4:$F$14</definedName>
    <definedName function="false" hidden="true" localSheetId="7" name="_xlnm._FilterDatabase" vbProcedure="false">III_PROETICA_137!$A$4:$P$141</definedName>
    <definedName function="false" hidden="true" localSheetId="9" name="_xlnm._FilterDatabase" vbProcedure="false">IV_ISO_COMPL_27!$A$4:$O$31</definedName>
    <definedName function="false" hidden="true" localSheetId="10" name="_xlnm._FilterDatabase" vbProcedure="false">IV_ISO_REAPROV_24!$A$4:$O$28</definedName>
    <definedName function="false" hidden="true" localSheetId="28" name="_xlnm._FilterDatabase" vbProcedure="false">LEG_ART57!$A$21:$J$244</definedName>
    <definedName function="false" hidden="true" localSheetId="29" name="_xlnm._FilterDatabase" vbProcedure="false">LEG_LEGISLACAO!$A$4:$G$34</definedName>
    <definedName function="false" hidden="true" localSheetId="14" name="_xlnm._FilterDatabase" vbProcedure="false">LIC_CHECKLIST_14133!$A$4:$I$16</definedName>
    <definedName function="false" hidden="true" localSheetId="15" name="_xlnm._FilterDatabase" vbProcedure="false">LIC_PERGUNTAS!$A$4:$G$23</definedName>
    <definedName function="false" hidden="true" localSheetId="25" name="_xlnm._FilterDatabase" vbProcedure="false">PMO_BIBLIOTECA_25!$A$4:$T$29</definedName>
    <definedName function="false" hidden="true" localSheetId="26" name="_xlnm._FilterDatabase" vbProcedure="false">PMO_PLANO!$A$9:$O$44</definedName>
    <definedName function="false" hidden="true" localSheetId="20" name="_xlnm._FilterDatabase" vbProcedure="false">RISCO_MATRIZ_17!$A$4:$V$21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<sst xmlns="http://schemas.openxmlformats.org/spreadsheetml/2006/main" count="18896" uniqueCount="3831">
  <si>
    <t xml:space="preserve">Simples GRC — Planilha do portal (mesma sequência do roadmap)</t>
  </si>
  <si>
    <t xml:space="preserve">Todos os dados vêm do portal HTML. Premissas próprias estão sinalizadas em RISCO_PARAMETROS (azul sobre amarelo). Gerada em 03/10/2026.</t>
  </si>
  <si>
    <t xml:space="preserve">Aba</t>
  </si>
  <si>
    <t xml:space="preserve">Etapa do portal</t>
  </si>
  <si>
    <t xml:space="preserve">Conteúdo</t>
  </si>
  <si>
    <t xml:space="preserve">Nº de itens</t>
  </si>
  <si>
    <t xml:space="preserve">TOTAIS</t>
  </si>
  <si>
    <t xml:space="preserve">Resumo</t>
  </si>
  <si>
    <t xml:space="preserve">Totais e checagens de todo o roadmap</t>
  </si>
  <si>
    <t xml:space="preserve">0_PERFIL_108</t>
  </si>
  <si>
    <t xml:space="preserve">Etapa 0</t>
  </si>
  <si>
    <t xml:space="preserve">Perfil: quem é a empresa</t>
  </si>
  <si>
    <t xml:space="preserve">I_ESSENCIAIS_10</t>
  </si>
  <si>
    <t xml:space="preserve">Etapa I</t>
  </si>
  <si>
    <t xml:space="preserve">Pacto Essencial: 10 medidas mínimas</t>
  </si>
  <si>
    <t xml:space="preserve">II_PACTO_80_ITENS</t>
  </si>
  <si>
    <t xml:space="preserve">Etapa II</t>
  </si>
  <si>
    <t xml:space="preserve">Pacto Completo: catálogo de 80 itens (11 + 69)</t>
  </si>
  <si>
    <t xml:space="preserve">II_PACTO_COMPL_69</t>
  </si>
  <si>
    <t xml:space="preserve">Complemento do Pacto: 69 itens</t>
  </si>
  <si>
    <t xml:space="preserve">II_PACTO_QPE_76</t>
  </si>
  <si>
    <t xml:space="preserve">QPE correlatas ao Pacto</t>
  </si>
  <si>
    <t xml:space="preserve">III_PROETICA_137</t>
  </si>
  <si>
    <t xml:space="preserve">Etapa III</t>
  </si>
  <si>
    <t xml:space="preserve">Complemento do Pró-Ética</t>
  </si>
  <si>
    <t xml:space="preserve">III_AREAS_CGU</t>
  </si>
  <si>
    <t xml:space="preserve">10 áreas, tetos e mínimo de 45%</t>
  </si>
  <si>
    <t xml:space="preserve">IV_ISO_COMPL_27</t>
  </si>
  <si>
    <t xml:space="preserve">Etapa IV</t>
  </si>
  <si>
    <t xml:space="preserve">Complemento ISO 37301/37001</t>
  </si>
  <si>
    <t xml:space="preserve">IV_ISO_REAPROV_24</t>
  </si>
  <si>
    <t xml:space="preserve">ISO reaproveitável</t>
  </si>
  <si>
    <t xml:space="preserve">AG_PERFIL_108</t>
  </si>
  <si>
    <t xml:space="preserve">Agentes</t>
  </si>
  <si>
    <t xml:space="preserve">Agentes de verificação do Perfil</t>
  </si>
  <si>
    <t xml:space="preserve">AG_CONFORMIDADE_223</t>
  </si>
  <si>
    <t xml:space="preserve">Agentes de verificação da Conformidade</t>
  </si>
  <si>
    <t xml:space="preserve">AG_ISO_51</t>
  </si>
  <si>
    <t xml:space="preserve">Agentes de verificação ISO</t>
  </si>
  <si>
    <t xml:space="preserve">LIC_CHECKLIST_14133</t>
  </si>
  <si>
    <t xml:space="preserve">Licitações</t>
  </si>
  <si>
    <t xml:space="preserve">Checagem com a Lei 14.133/2021</t>
  </si>
  <si>
    <t xml:space="preserve">LIC_PERGUNTAS</t>
  </si>
  <si>
    <t xml:space="preserve">Perguntas relevantes para licitações</t>
  </si>
  <si>
    <t xml:space="preserve">CONF_MATRIZ_108</t>
  </si>
  <si>
    <t xml:space="preserve">Conflitos</t>
  </si>
  <si>
    <t xml:space="preserve">Matriz de conflitos Perfil × Conformidade</t>
  </si>
  <si>
    <t xml:space="preserve">CONF_REGRAS_42</t>
  </si>
  <si>
    <t xml:space="preserve">Regras de conflito</t>
  </si>
  <si>
    <t xml:space="preserve">CONF_DEPENDENCIAS_23</t>
  </si>
  <si>
    <t xml:space="preserve">Regras de dependência</t>
  </si>
  <si>
    <t xml:space="preserve">RISCO_PARAMETROS</t>
  </si>
  <si>
    <t xml:space="preserve">Riscos</t>
  </si>
  <si>
    <t xml:space="preserve">Premissas editáveis (meta, apetite, capacidade, datas)</t>
  </si>
  <si>
    <t xml:space="preserve">RISCO_MATRIZ_17</t>
  </si>
  <si>
    <t xml:space="preserve">Matriz de risco P×I (editável)</t>
  </si>
  <si>
    <t xml:space="preserve">RISCO_ESTRESSE</t>
  </si>
  <si>
    <t xml:space="preserve">5 cenários de estresse</t>
  </si>
  <si>
    <t xml:space="preserve">RISCO_SIMULADOR</t>
  </si>
  <si>
    <t xml:space="preserve">Simulador de probabilidade × impacto</t>
  </si>
  <si>
    <t xml:space="preserve">RISCO_MAPA_CALOR</t>
  </si>
  <si>
    <t xml:space="preserve">Mapa de calor base × simulado</t>
  </si>
  <si>
    <t xml:space="preserve">SIM_PROETICA</t>
  </si>
  <si>
    <t xml:space="preserve">Simulador da pontuação Pró-Ética (70 pts e 45%)</t>
  </si>
  <si>
    <t xml:space="preserve">PMO_BIBLIOTECA_25</t>
  </si>
  <si>
    <t xml:space="preserve">PMO</t>
  </si>
  <si>
    <t xml:space="preserve">Biblioteca de ações</t>
  </si>
  <si>
    <t xml:space="preserve">PMO_PLANO</t>
  </si>
  <si>
    <t xml:space="preserve">Quadro do PMO</t>
  </si>
  <si>
    <t xml:space="preserve">PMO_COMITE</t>
  </si>
  <si>
    <t xml:space="preserve">Prioridades de remediação para o Comitê de Sócios</t>
  </si>
  <si>
    <t xml:space="preserve">LEG_ART57</t>
  </si>
  <si>
    <t xml:space="preserve">Legislação</t>
  </si>
  <si>
    <t xml:space="preserve">Decreto 11.129/2022, art. 57 × perguntas</t>
  </si>
  <si>
    <t xml:space="preserve">LEG_LEGISLACAO</t>
  </si>
  <si>
    <t xml:space="preserve">Legislação, guias e regras que sustentam o portal</t>
  </si>
  <si>
    <t xml:space="preserve">Como usar: ajuste RISCO_PARAMETROS; edite P e I em RISCO_MATRIZ_17; ligue cenários em RISCO_ESTRESSE; acompanhe o PMO_PLANO; informe o % atendido por área e marque ações (PMO_BIBLIOTECA_25, coluna S) em SIM_PROETICA.</t>
  </si>
  <si>
    <t xml:space="preserve">Células azuis sobre amarelo são editáveis; as demais são fórmulas ou dados do portal.</t>
  </si>
  <si>
    <t xml:space="preserve">Agentes: o portal configura os agentes por tipo de revisor, testes e critério; as abas AG_* materializam um agente por pergunta com essa configuração. Parecer é preliminar e a decisão é humana.</t>
  </si>
  <si>
    <t xml:space="preserve">Premissas que não vêm do portal: apetite de risco = 9, redução máxima de 1 ponto em P e em I por risco totalmente tratado, início do PMO em 05/10/2026 (RISCO_PARAMETROS).</t>
  </si>
  <si>
    <t xml:space="preserve">A pontuação simulada é estimativa de planejamento; não é nota nem homologação da CGU. As correspondências Pacto/Pró-Ética/ISO do portal não são homologadas.</t>
  </si>
  <si>
    <t xml:space="preserve">Totais na sequência do portal: Perfil → Essenciais → Pacto → Pró-Ética → ISO → agentes → licitações → conflitos → riscos → PMO</t>
  </si>
  <si>
    <t xml:space="preserve">Todas as contagens são fórmulas sobre as abas de dados. A coluna Check deve mostrar OK.</t>
  </si>
  <si>
    <t xml:space="preserve">Etapa</t>
  </si>
  <si>
    <t xml:space="preserve">Item</t>
  </si>
  <si>
    <t xml:space="preserve">Perguntas / itens</t>
  </si>
  <si>
    <t xml:space="preserve">Pontos Pró-Ética</t>
  </si>
  <si>
    <t xml:space="preserve">Check</t>
  </si>
  <si>
    <t xml:space="preserve">0 · Perfil</t>
  </si>
  <si>
    <t xml:space="preserve">Perguntas de Perfil</t>
  </si>
  <si>
    <t xml:space="preserve">0_PERFIL_108 · AG_PERFIL_108</t>
  </si>
  <si>
    <t xml:space="preserve">I · Essenciais</t>
  </si>
  <si>
    <t xml:space="preserve">Conformidade: 10 Essenciais</t>
  </si>
  <si>
    <t xml:space="preserve">II · Pacto</t>
  </si>
  <si>
    <t xml:space="preserve">Conformidade: 76 QPE correlatas ao Pacto</t>
  </si>
  <si>
    <t xml:space="preserve">III · Pró-Ética</t>
  </si>
  <si>
    <t xml:space="preserve">Conformidade: 137 complementares</t>
  </si>
  <si>
    <t xml:space="preserve">Conformidade</t>
  </si>
  <si>
    <t xml:space="preserve">TOTAL da Conformidade (10 + 76 + 137)</t>
  </si>
  <si>
    <t xml:space="preserve">Pacto Completo: itens do catálogo</t>
  </si>
  <si>
    <t xml:space="preserve">   reaproveitáveis das Essenciais</t>
  </si>
  <si>
    <t xml:space="preserve">   complementos</t>
  </si>
  <si>
    <t xml:space="preserve">IV · ISO</t>
  </si>
  <si>
    <t xml:space="preserve">Complemento ISO (parcial ou não previsto)</t>
  </si>
  <si>
    <t xml:space="preserve">ISO reaproveitável (coberto pela CGU)</t>
  </si>
  <si>
    <t xml:space="preserve">TOTAL ISO 37301/37001</t>
  </si>
  <si>
    <t xml:space="preserve">Checklist Lei 14.133/2021</t>
  </si>
  <si>
    <t xml:space="preserve">Perguntas marcadas "Licitações"</t>
  </si>
  <si>
    <t xml:space="preserve">Agentes de conflito Perfil × Conformidade</t>
  </si>
  <si>
    <t xml:space="preserve">Regras de conflito / dependência</t>
  </si>
  <si>
    <t xml:space="preserve">CONF_REGRAS_42 · CONF_DEPENDENCIAS_23</t>
  </si>
  <si>
    <t xml:space="preserve">Riscos na matriz (10 CGU + 7 ISO)</t>
  </si>
  <si>
    <t xml:space="preserve">Ações da biblioteca (18 CGU + 7 ISO)</t>
  </si>
  <si>
    <t xml:space="preserve">TOTAL de agentes (Perfil + Conformidade + ISO + Conflitos)</t>
  </si>
  <si>
    <t xml:space="preserve">AG_* · CONF_MATRIZ_108</t>
  </si>
  <si>
    <t xml:space="preserve">Leitura: a Conformidade tem 223 perguntas = 10 Essenciais + 76 correlatas ao Pacto + 137 do Pró-Ética. O Pacto Completo tem 80 itens = 11 reaproveitáveis das Essenciais + 69 complementos (o item é reaproveitável quando seu QPE vinculado é uma Essencial). A ISO tem 51 requisitos = 27 complementos + 24 reaproveitáveis.</t>
  </si>
  <si>
    <t xml:space="preserve">Etapa 0 · Perfil — 108 perguntas (quem é a empresa)</t>
  </si>
  <si>
    <t xml:space="preserve">Fonte: portal (DB.P). Agente = revisor de cada pergunta (detalhe na aba AG_PERFIL_108). Isos relacionadas: itens ISO que reaproveitam a resposta do Perfil.</t>
  </si>
  <si>
    <t xml:space="preserve">ID</t>
  </si>
  <si>
    <t xml:space="preserve">Grupo</t>
  </si>
  <si>
    <t xml:space="preserve">Pergunta</t>
  </si>
  <si>
    <t xml:space="preserve">Tipo de resposta</t>
  </si>
  <si>
    <t xml:space="preserve">Pergunta-pai (condição)</t>
  </si>
  <si>
    <t xml:space="preserve">Aplicável?</t>
  </si>
  <si>
    <t xml:space="preserve">Obrigatória?</t>
  </si>
  <si>
    <t xml:space="preserve">Evidência sugerida</t>
  </si>
  <si>
    <t xml:space="preserve">Agente</t>
  </si>
  <si>
    <t xml:space="preserve">Tipo de verificação</t>
  </si>
  <si>
    <t xml:space="preserve">Itens ISO relacionados</t>
  </si>
  <si>
    <t xml:space="preserve">DB1</t>
  </si>
  <si>
    <t xml:space="preserve">Dados básicos</t>
  </si>
  <si>
    <t xml:space="preserve">Razão social registrada no CNPJ.</t>
  </si>
  <si>
    <t xml:space="preserve">text</t>
  </si>
  <si>
    <t xml:space="preserve">Sim</t>
  </si>
  <si>
    <t xml:space="preserve">Não</t>
  </si>
  <si>
    <t xml:space="preserve">Comprovante de inscrição e situação cadastral no CNPJ; ato societário ou histórico de alterações apenas para a informação societária solicitada.</t>
  </si>
  <si>
    <t xml:space="preserve">AG-PERF-DB1</t>
  </si>
  <si>
    <t xml:space="preserve">CADASTRAL_REGULARIDADE</t>
  </si>
  <si>
    <t xml:space="preserve">DB2</t>
  </si>
  <si>
    <t xml:space="preserve">Nome fantasia; informe não se aplica caso inexistente.</t>
  </si>
  <si>
    <t xml:space="preserve">AG-PERF-DB2</t>
  </si>
  <si>
    <t xml:space="preserve">DB3</t>
  </si>
  <si>
    <t xml:space="preserve">Houve mudança de razão social nos últimos três anos?</t>
  </si>
  <si>
    <t xml:space="preserve">yn</t>
  </si>
  <si>
    <t xml:space="preserve">AG-PERF-DB3</t>
  </si>
  <si>
    <t xml:space="preserve">DB3.1</t>
  </si>
  <si>
    <t xml:space="preserve">Descreva as mudanças de razão social e suas datas.</t>
  </si>
  <si>
    <t xml:space="preserve">long</t>
  </si>
  <si>
    <t xml:space="preserve">AG-PERF-DB3.1</t>
  </si>
  <si>
    <t xml:space="preserve">DB4</t>
  </si>
  <si>
    <t xml:space="preserve">E-mail institucional da área de integridade.</t>
  </si>
  <si>
    <t xml:space="preserve">email</t>
  </si>
  <si>
    <t xml:space="preserve">Somente resposta declaratória, salvo documento previsto no enunciado ou solicitado no formulário oficial.</t>
  </si>
  <si>
    <t xml:space="preserve">AG-PERF-DB4</t>
  </si>
  <si>
    <t xml:space="preserve">DADO_DECLARATORIO</t>
  </si>
  <si>
    <t xml:space="preserve">DB5</t>
  </si>
  <si>
    <t xml:space="preserve">CNPJ da pessoa jurídica participante.</t>
  </si>
  <si>
    <t xml:space="preserve">cnpj</t>
  </si>
  <si>
    <t xml:space="preserve">AG-PERF-DB5</t>
  </si>
  <si>
    <t xml:space="preserve">DB6</t>
  </si>
  <si>
    <t xml:space="preserve">Nome do representante da empresa.</t>
  </si>
  <si>
    <t xml:space="preserve">Ato de representação ou indicação do representante, apenas para conferência interna do responsável indicado.</t>
  </si>
  <si>
    <t xml:space="preserve">AG-PERF-DB6</t>
  </si>
  <si>
    <t xml:space="preserve">DB7</t>
  </si>
  <si>
    <t xml:space="preserve">Cargo do representante.</t>
  </si>
  <si>
    <t xml:space="preserve">AG-PERF-DB7</t>
  </si>
  <si>
    <t xml:space="preserve">DB8</t>
  </si>
  <si>
    <t xml:space="preserve">E-mail institucional do representante.</t>
  </si>
  <si>
    <t xml:space="preserve">AG-PERF-DB8</t>
  </si>
  <si>
    <t xml:space="preserve">DB9</t>
  </si>
  <si>
    <t xml:space="preserve">Telefone do representante.</t>
  </si>
  <si>
    <t xml:space="preserve">tel</t>
  </si>
  <si>
    <t xml:space="preserve">AG-PERF-DB9</t>
  </si>
  <si>
    <t xml:space="preserve">DB10</t>
  </si>
  <si>
    <t xml:space="preserve">E-mail restrito para esclarecimentos sigilosos à CGU.</t>
  </si>
  <si>
    <t xml:space="preserve">AG-PERF-DB10</t>
  </si>
  <si>
    <t xml:space="preserve">EA1</t>
  </si>
  <si>
    <t xml:space="preserve">Estrutura e atividade econômica</t>
  </si>
  <si>
    <t xml:space="preserve">Principal setor de atividade econômica da empresa (faixa CNAE).</t>
  </si>
  <si>
    <t xml:space="preserve">Cadastro CNPJ e/ou ato constitutivo que identifique o setor, a atividade, a natureza societária ou a sede perguntada.</t>
  </si>
  <si>
    <t xml:space="preserve">AG-PERF-EA1</t>
  </si>
  <si>
    <t xml:space="preserve">ISO-01</t>
  </si>
  <si>
    <t xml:space="preserve">EA2</t>
  </si>
  <si>
    <t xml:space="preserve">CNAE principal, com sete dígitos.</t>
  </si>
  <si>
    <t xml:space="preserve">cnae</t>
  </si>
  <si>
    <t xml:space="preserve">AG-PERF-EA2</t>
  </si>
  <si>
    <t xml:space="preserve">EA3</t>
  </si>
  <si>
    <t xml:space="preserve">Demais atividades econômicas desempenhadas.</t>
  </si>
  <si>
    <t xml:space="preserve">AG-PERF-EA3</t>
  </si>
  <si>
    <t xml:space="preserve">EA4</t>
  </si>
  <si>
    <t xml:space="preserve">Tipo organizacional ou societário.</t>
  </si>
  <si>
    <t xml:space="preserve">AG-PERF-EA4</t>
  </si>
  <si>
    <t xml:space="preserve">EA5</t>
  </si>
  <si>
    <t xml:space="preserve">Porte da empresa segundo o faturamento anual.</t>
  </si>
  <si>
    <t xml:space="preserve">porte</t>
  </si>
  <si>
    <t xml:space="preserve">Demonstração contábil ou apuração do faturamento no período-base que sustente a faixa informada.</t>
  </si>
  <si>
    <t xml:space="preserve">AG-PERF-EA5</t>
  </si>
  <si>
    <t xml:space="preserve">DADO_QUANTITATIVO</t>
  </si>
  <si>
    <t xml:space="preserve">EA6</t>
  </si>
  <si>
    <t xml:space="preserve">Faixa do faturamento anual da empresa.</t>
  </si>
  <si>
    <t xml:space="preserve">AG-PERF-EA6</t>
  </si>
  <si>
    <t xml:space="preserve">EA7</t>
  </si>
  <si>
    <t xml:space="preserve">A empresa tem capital aberto?</t>
  </si>
  <si>
    <t xml:space="preserve">AG-PERF-EA7</t>
  </si>
  <si>
    <t xml:space="preserve">EA8</t>
  </si>
  <si>
    <t xml:space="preserve">Unidades da Federação em que a empresa atua.</t>
  </si>
  <si>
    <t xml:space="preserve">AG-PERF-EA8</t>
  </si>
  <si>
    <t xml:space="preserve">ISO-01; ISO-04</t>
  </si>
  <si>
    <t xml:space="preserve">EA9</t>
  </si>
  <si>
    <t xml:space="preserve">Unidade da Federação da sede.</t>
  </si>
  <si>
    <t xml:space="preserve">uf</t>
  </si>
  <si>
    <t xml:space="preserve">AG-PERF-EA9</t>
  </si>
  <si>
    <t xml:space="preserve">EA10</t>
  </si>
  <si>
    <t xml:space="preserve">A empresa atua fora do Brasil?</t>
  </si>
  <si>
    <t xml:space="preserve">Ato societário, organograma do grupo ou instrumento da operação apenas se a situação descrita ocorreu.</t>
  </si>
  <si>
    <t xml:space="preserve">AG-PERF-EA10</t>
  </si>
  <si>
    <t xml:space="preserve">ISO-01; ISO-06</t>
  </si>
  <si>
    <t xml:space="preserve">EA10.1</t>
  </si>
  <si>
    <t xml:space="preserve">Países em que possui operações.</t>
  </si>
  <si>
    <t xml:space="preserve">AG-PERF-EA10.1</t>
  </si>
  <si>
    <t xml:space="preserve">EA10.2</t>
  </si>
  <si>
    <t xml:space="preserve">Legislação anticorrupção estrangeira aplicável às operações.</t>
  </si>
  <si>
    <t xml:space="preserve">AG-PERF-EA10.2</t>
  </si>
  <si>
    <t xml:space="preserve">EA11</t>
  </si>
  <si>
    <t xml:space="preserve">Possui subsidiárias em outros países?</t>
  </si>
  <si>
    <t xml:space="preserve">AG-PERF-EA11</t>
  </si>
  <si>
    <t xml:space="preserve">EA12</t>
  </si>
  <si>
    <t xml:space="preserve">Integra grupo econômico?</t>
  </si>
  <si>
    <t xml:space="preserve">AG-PERF-EA12</t>
  </si>
  <si>
    <t xml:space="preserve">ISO-01; ISO-03; ISO-04</t>
  </si>
  <si>
    <t xml:space="preserve">EA12.1</t>
  </si>
  <si>
    <t xml:space="preserve">Nome do grupo econômico.</t>
  </si>
  <si>
    <t xml:space="preserve">AG-PERF-EA12.1</t>
  </si>
  <si>
    <t xml:space="preserve">EA12.2</t>
  </si>
  <si>
    <t xml:space="preserve">Empresas do grupo cobertas pelo programa de integridade.</t>
  </si>
  <si>
    <t xml:space="preserve">AG-PERF-EA12.2</t>
  </si>
  <si>
    <t xml:space="preserve">ISO-04</t>
  </si>
  <si>
    <t xml:space="preserve">EA12.3</t>
  </si>
  <si>
    <t xml:space="preserve">Posição societária da empresa no grupo e principais integrantes e países.</t>
  </si>
  <si>
    <t xml:space="preserve">AG-PERF-EA12.3</t>
  </si>
  <si>
    <t xml:space="preserve">EA13</t>
  </si>
  <si>
    <t xml:space="preserve">Estrutura organizacional, órgãos e linhas de reporte.</t>
  </si>
  <si>
    <t xml:space="preserve">Organograma ou documento organizacional vigente, se disponível.</t>
  </si>
  <si>
    <t xml:space="preserve">AG-PERF-EA13</t>
  </si>
  <si>
    <t xml:space="preserve">EA14</t>
  </si>
  <si>
    <t xml:space="preserve">Houve fusões, aquisições ou outras operações societárias entre 2022 e 2025?</t>
  </si>
  <si>
    <t xml:space="preserve">AG-PERF-EA14</t>
  </si>
  <si>
    <t xml:space="preserve">EA14.1</t>
  </si>
  <si>
    <t xml:space="preserve">Detalhes e datas das operações societárias realizadas entre 2022 e 2025.</t>
  </si>
  <si>
    <t xml:space="preserve">AG-PERF-EA14.1</t>
  </si>
  <si>
    <t xml:space="preserve">GOVERNANCA</t>
  </si>
  <si>
    <t xml:space="preserve">EA15</t>
  </si>
  <si>
    <t xml:space="preserve">Houve consórcios, joint ventures ou outras parcerias entre 2022 e 2025?</t>
  </si>
  <si>
    <t xml:space="preserve">AG-PERF-EA15</t>
  </si>
  <si>
    <t xml:space="preserve">EA15.1</t>
  </si>
  <si>
    <t xml:space="preserve">Descreva as parcerias firmadas entre 2022 e 2025.</t>
  </si>
  <si>
    <t xml:space="preserve">AG-PERF-EA15.1</t>
  </si>
  <si>
    <t xml:space="preserve">EA16</t>
  </si>
  <si>
    <t xml:space="preserve">Total de colaboradores, incluindo terceirizados, aprendizes e estagiários.</t>
  </si>
  <si>
    <t xml:space="preserve">int</t>
  </si>
  <si>
    <t xml:space="preserve">Relatório de pessoal ou quantitativo consolidado referente ao período declarado; sem nomes pessoais desnecessários.</t>
  </si>
  <si>
    <t xml:space="preserve">AG-PERF-EA16</t>
  </si>
  <si>
    <t xml:space="preserve">EA17</t>
  </si>
  <si>
    <t xml:space="preserve">Quantidade de colaboradores em funções gerenciais.</t>
  </si>
  <si>
    <t xml:space="preserve">AG-PERF-EA17</t>
  </si>
  <si>
    <t xml:space="preserve">EA18</t>
  </si>
  <si>
    <t xml:space="preserve">Quantidade de colaboradores em funções administrativas.</t>
  </si>
  <si>
    <t xml:space="preserve">AG-PERF-EA18</t>
  </si>
  <si>
    <t xml:space="preserve">EA19</t>
  </si>
  <si>
    <t xml:space="preserve">Quantidade de colaboradores em funções operacionais.</t>
  </si>
  <si>
    <t xml:space="preserve">AG-PERF-EA19</t>
  </si>
  <si>
    <t xml:space="preserve">EA20</t>
  </si>
  <si>
    <t xml:space="preserve">Faixa percentual de trabalhadores operacionais com acesso à internet no trabalho.</t>
  </si>
  <si>
    <t xml:space="preserve">percent</t>
  </si>
  <si>
    <t xml:space="preserve">AG-PERF-EA20</t>
  </si>
  <si>
    <t xml:space="preserve">IP1</t>
  </si>
  <si>
    <t xml:space="preserve">Interação com o poder público</t>
  </si>
  <si>
    <t xml:space="preserve">Atividades sujeitas a regulação estatal?</t>
  </si>
  <si>
    <t xml:space="preserve">AG-PERF-IP1</t>
  </si>
  <si>
    <t xml:space="preserve">ISO-01; ISO-03; ISO-06</t>
  </si>
  <si>
    <t xml:space="preserve">IP1.1</t>
  </si>
  <si>
    <t xml:space="preserve">Órgãos reguladores e respectivas atividades reguladas.</t>
  </si>
  <si>
    <t xml:space="preserve">Licença, permissão, autorização ou registro no órgão regulador correspondente somente para a atividade regulada informada.</t>
  </si>
  <si>
    <t xml:space="preserve">AG-PERF-IP1.1</t>
  </si>
  <si>
    <t xml:space="preserve">IP2</t>
  </si>
  <si>
    <t xml:space="preserve">Grau de dependência de licenças, permissões e autorizações governamentais.</t>
  </si>
  <si>
    <t xml:space="preserve">AG-PERF-IP2</t>
  </si>
  <si>
    <t xml:space="preserve">IP3</t>
  </si>
  <si>
    <t xml:space="preserve">Quais licenças, permissões ou autorizações governamentais são necessárias?</t>
  </si>
  <si>
    <t xml:space="preserve">AG-PERF-IP3</t>
  </si>
  <si>
    <t xml:space="preserve">ISO-06</t>
  </si>
  <si>
    <t xml:space="preserve">IP4</t>
  </si>
  <si>
    <t xml:space="preserve">Perfil de participação da empresa em licitações públicas.</t>
  </si>
  <si>
    <t xml:space="preserve">Relação de licitações, contratos administrativos, concessões ou subcontratos aplicáveis ao período e à informação solicitada.</t>
  </si>
  <si>
    <t xml:space="preserve">AG-PERF-IP4</t>
  </si>
  <si>
    <t xml:space="preserve">ISO-01; ISO-03</t>
  </si>
  <si>
    <t xml:space="preserve">IP5</t>
  </si>
  <si>
    <t xml:space="preserve">Perfil de contratos celebrados com a Administração Pública.</t>
  </si>
  <si>
    <t xml:space="preserve">AG-PERF-IP5</t>
  </si>
  <si>
    <t xml:space="preserve">IP6</t>
  </si>
  <si>
    <t xml:space="preserve">Faixa percentual do faturamento proveniente de contratos públicos vigentes.</t>
  </si>
  <si>
    <t xml:space="preserve">AG-PERF-IP6</t>
  </si>
  <si>
    <t xml:space="preserve">IP7</t>
  </si>
  <si>
    <t xml:space="preserve">Entre 2022 e 2025, utilizou intermediários em interações com o poder público?</t>
  </si>
  <si>
    <t xml:space="preserve">Relação dos intermediários e instrumentos contratuais das interações declaradas, se existentes.</t>
  </si>
  <si>
    <t xml:space="preserve">AG-PERF-IP7</t>
  </si>
  <si>
    <t xml:space="preserve">IP7.1</t>
  </si>
  <si>
    <t xml:space="preserve">Detalhes dos intermediários, atividades, órgãos e período.</t>
  </si>
  <si>
    <t xml:space="preserve">AG-PERF-IP7.1</t>
  </si>
  <si>
    <t xml:space="preserve">IP8</t>
  </si>
  <si>
    <t xml:space="preserve">Entre 2022 e 2025, subcontratou atividades de contratos administrativos?</t>
  </si>
  <si>
    <t xml:space="preserve">AG-PERF-IP8</t>
  </si>
  <si>
    <t xml:space="preserve">IP8.1</t>
  </si>
  <si>
    <t xml:space="preserve">Detalhes das subcontratações, contratos e terceiros envolvidos.</t>
  </si>
  <si>
    <t xml:space="preserve">AG-PERF-IP8.1</t>
  </si>
  <si>
    <t xml:space="preserve">IP9</t>
  </si>
  <si>
    <t xml:space="preserve">É concessionária ou permissionária de serviço público?</t>
  </si>
  <si>
    <t xml:space="preserve">AG-PERF-IP9</t>
  </si>
  <si>
    <t xml:space="preserve">IP9.1</t>
  </si>
  <si>
    <t xml:space="preserve">Faixa percentual de receita relacionada a concessões ou permissões vigentes.</t>
  </si>
  <si>
    <t xml:space="preserve">AG-PERF-IP9.1</t>
  </si>
  <si>
    <t xml:space="preserve">IP10</t>
  </si>
  <si>
    <t xml:space="preserve">Usufruiu de incentivos ou benefícios fiscais entre 2022 e 2025?</t>
  </si>
  <si>
    <t xml:space="preserve">Ato concessivo do benefício e demonstrativo do valor/período, apenas quando houver benefício declarado.</t>
  </si>
  <si>
    <t xml:space="preserve">AG-PERF-IP10</t>
  </si>
  <si>
    <t xml:space="preserve">IP10.1</t>
  </si>
  <si>
    <t xml:space="preserve">Detalhes dos benefícios fiscais, fundamento, valores e período.</t>
  </si>
  <si>
    <t xml:space="preserve">AG-PERF-IP10.1</t>
  </si>
  <si>
    <t xml:space="preserve">DP1</t>
  </si>
  <si>
    <t xml:space="preserve">Doações e patrocínios</t>
  </si>
  <si>
    <t xml:space="preserve">Efetuou patrocínios esportivos ou culturais entre 2022 e 2025?</t>
  </si>
  <si>
    <t xml:space="preserve">Relação, contrato e comprovante do patrocínio ocorrido; ato concessivo somente se declarado uso de incentivo fiscal.</t>
  </si>
  <si>
    <t xml:space="preserve">AG-PERF-DP1</t>
  </si>
  <si>
    <t xml:space="preserve">ISO-37</t>
  </si>
  <si>
    <t xml:space="preserve">DP1.1</t>
  </si>
  <si>
    <t xml:space="preserve">Algum patrocínio se beneficiou de incentivo fiscal?</t>
  </si>
  <si>
    <t xml:space="preserve">AG-PERF-DP1.1</t>
  </si>
  <si>
    <t xml:space="preserve">DP1.2</t>
  </si>
  <si>
    <t xml:space="preserve">Descreva os patrocínios realizados, beneficiários, datas e incentivos fiscais.</t>
  </si>
  <si>
    <t xml:space="preserve">AG-PERF-DP1.2</t>
  </si>
  <si>
    <t xml:space="preserve">DP2</t>
  </si>
  <si>
    <t xml:space="preserve">Realizou doações filantrópicas entre 2022 e 2025?</t>
  </si>
  <si>
    <t xml:space="preserve">Relação de doações realizadas e respectivos comprovantes ou instrumentos, se ocorreram no período.</t>
  </si>
  <si>
    <t xml:space="preserve">AG-PERF-DP2</t>
  </si>
  <si>
    <t xml:space="preserve">DP2.1</t>
  </si>
  <si>
    <t xml:space="preserve">Informe os destinatários, a finalidade e os procedimentos das doações.</t>
  </si>
  <si>
    <t xml:space="preserve">AG-PERF-DP2.1</t>
  </si>
  <si>
    <t xml:space="preserve">NORMATIVO</t>
  </si>
  <si>
    <t xml:space="preserve">PI1</t>
  </si>
  <si>
    <t xml:space="preserve">Programa de integridade</t>
  </si>
  <si>
    <t xml:space="preserve">Ano de formalização do programa de integridade.</t>
  </si>
  <si>
    <t xml:space="preserve">Ato de instituição do programa, organograma ou registros da equipe pertinentes à informação perguntada.</t>
  </si>
  <si>
    <t xml:space="preserve">AG-PERF-PI1</t>
  </si>
  <si>
    <t xml:space="preserve">ISO-05</t>
  </si>
  <si>
    <t xml:space="preserve">PI2</t>
  </si>
  <si>
    <t xml:space="preserve">Organização, composição e reporte hierárquico da área de integridade.</t>
  </si>
  <si>
    <t xml:space="preserve">AG-PERF-PI2</t>
  </si>
  <si>
    <t xml:space="preserve">PI3</t>
  </si>
  <si>
    <t xml:space="preserve">Quantidade de colaboradores dedicados exclusivamente à integridade.</t>
  </si>
  <si>
    <t xml:space="preserve">AG-PERF-PI3</t>
  </si>
  <si>
    <t xml:space="preserve">PI4</t>
  </si>
  <si>
    <t xml:space="preserve">Representantes de integridade nas UFs em que a empresa atua e sua atuação.</t>
  </si>
  <si>
    <t xml:space="preserve">AG-PERF-PI4</t>
  </si>
  <si>
    <t xml:space="preserve">PI5</t>
  </si>
  <si>
    <t xml:space="preserve">Principais riscos de integridade identificados para a empresa.</t>
  </si>
  <si>
    <t xml:space="preserve">Matriz ou relatório de riscos de integridade referente ao período declarado.</t>
  </si>
  <si>
    <t xml:space="preserve">AG-PERF-PI5</t>
  </si>
  <si>
    <t xml:space="preserve">RISCOS_TERCEIROS</t>
  </si>
  <si>
    <t xml:space="preserve">ISO-07</t>
  </si>
  <si>
    <t xml:space="preserve">PI6</t>
  </si>
  <si>
    <t xml:space="preserve">Houve denúncias de fraude ou corrupção entre 2023 e 2025?</t>
  </si>
  <si>
    <t xml:space="preserve">Relatório agregado do canal correspondente e registros de providências, se houve casos; preservar sigilo de denunciantes e dados pessoais.</t>
  </si>
  <si>
    <t xml:space="preserve">AG-PERF-PI6</t>
  </si>
  <si>
    <t xml:space="preserve">PI7</t>
  </si>
  <si>
    <t xml:space="preserve">Houve denúncias de discriminação ou assédio entre 2023 e 2025?</t>
  </si>
  <si>
    <t xml:space="preserve">AG-PERF-PI7</t>
  </si>
  <si>
    <t xml:space="preserve">PI8</t>
  </si>
  <si>
    <t xml:space="preserve">Houve denúncias de infração ambiental entre 2023 e 2025?</t>
  </si>
  <si>
    <t xml:space="preserve">AG-PERF-PI8</t>
  </si>
  <si>
    <t xml:space="preserve">PI9</t>
  </si>
  <si>
    <t xml:space="preserve">A empresa participou de edições anteriores do Pró-Ética?</t>
  </si>
  <si>
    <t xml:space="preserve">Comprovante da participação, relatório de edição anterior ou certificado da distinção informada, quando existente.</t>
  </si>
  <si>
    <t xml:space="preserve">AG-PERF-PI9</t>
  </si>
  <si>
    <t xml:space="preserve">PI9.1</t>
  </si>
  <si>
    <t xml:space="preserve">Edições anteriores efetivamente avaliadas e respectivos relatórios.</t>
  </si>
  <si>
    <t xml:space="preserve">AG-PERF-PI9.1</t>
  </si>
  <si>
    <t xml:space="preserve">PI10</t>
  </si>
  <si>
    <t xml:space="preserve">Recebeu reconhecimento em ética, integridade ou sustentabilidade nos últimos dois anos?</t>
  </si>
  <si>
    <t xml:space="preserve">AG-PERF-PI10</t>
  </si>
  <si>
    <t xml:space="preserve">PI10.1</t>
  </si>
  <si>
    <t xml:space="preserve">Identifique os reconhecimentos e os anos correspondentes.</t>
  </si>
  <si>
    <t xml:space="preserve">AG-PERF-PI10.1</t>
  </si>
  <si>
    <t xml:space="preserve">PI11</t>
  </si>
  <si>
    <t xml:space="preserve">Há investigações, processos ou condenações da empresa relativos a corrupção, improbidade ou fraude licitatória nos últimos três anos?</t>
  </si>
  <si>
    <t xml:space="preserve">Registro ou decisão pública pertinente e relato institucional das medidas, se houve caso; não exigir exposição de dados pessoais sigilosos.</t>
  </si>
  <si>
    <t xml:space="preserve">AG-PERF-PI11</t>
  </si>
  <si>
    <t xml:space="preserve">PI11.1</t>
  </si>
  <si>
    <t xml:space="preserve">Contexto e respostas institucionais aos casos referentes à empresa.</t>
  </si>
  <si>
    <t xml:space="preserve">AG-PERF-PI11.1</t>
  </si>
  <si>
    <t xml:space="preserve">PI12</t>
  </si>
  <si>
    <t xml:space="preserve">Há casos dessa natureza envolvendo membro da alta direção nos últimos três anos?</t>
  </si>
  <si>
    <t xml:space="preserve">AG-PERF-PI12</t>
  </si>
  <si>
    <t xml:space="preserve">PI12.1</t>
  </si>
  <si>
    <t xml:space="preserve">Medidas institucionais adotadas em relação aos casos envolvendo a alta direção.</t>
  </si>
  <si>
    <t xml:space="preserve">AG-PERF-PI12.1</t>
  </si>
  <si>
    <t xml:space="preserve">PI13</t>
  </si>
  <si>
    <t xml:space="preserve">A alta direção possui política de remuneração variável?</t>
  </si>
  <si>
    <t xml:space="preserve">Norma de remuneração variável, somente se declarada existente.</t>
  </si>
  <si>
    <t xml:space="preserve">AG-PERF-PI13</t>
  </si>
  <si>
    <t xml:space="preserve">PI14</t>
  </si>
  <si>
    <t xml:space="preserve">As atividades da empresa podem causar impactos ambientais?</t>
  </si>
  <si>
    <t xml:space="preserve">AG-PERF-PI14</t>
  </si>
  <si>
    <t xml:space="preserve">ISO-02</t>
  </si>
  <si>
    <t xml:space="preserve">PI14.1</t>
  </si>
  <si>
    <t xml:space="preserve">Fundamentação da conclusão de ausência de impactos ambientais.</t>
  </si>
  <si>
    <t xml:space="preserve">Estudo ou justificativa técnica utilizada na conclusão declarada; não exigir licença que a pergunta não solicita.</t>
  </si>
  <si>
    <t xml:space="preserve">AG-PERF-PI14.1</t>
  </si>
  <si>
    <t xml:space="preserve">PI15</t>
  </si>
  <si>
    <t xml:space="preserve">Há exposição significativa a riscos decorrentes das mudanças climáticas?</t>
  </si>
  <si>
    <t xml:space="preserve">AG-PERF-PI15</t>
  </si>
  <si>
    <t xml:space="preserve">PI15.1</t>
  </si>
  <si>
    <t xml:space="preserve">Fundamentação da conclusão de ausência de risco climático significativo.</t>
  </si>
  <si>
    <t xml:space="preserve">AG-PERF-PI15.1</t>
  </si>
  <si>
    <t xml:space="preserve">PI16</t>
  </si>
  <si>
    <t xml:space="preserve">Houve prejuízos causados por eventos climáticos nos últimos cinco anos?</t>
  </si>
  <si>
    <t xml:space="preserve">Registro de perdas por evento climático, somente se ocorreu.</t>
  </si>
  <si>
    <t xml:space="preserve">AG-PERF-PI16</t>
  </si>
  <si>
    <t xml:space="preserve">PI16.1</t>
  </si>
  <si>
    <t xml:space="preserve">Descreva os prejuízos decorrentes de eventos climáticos.</t>
  </si>
  <si>
    <t xml:space="preserve">AG-PERF-PI16.1</t>
  </si>
  <si>
    <t xml:space="preserve">PI17</t>
  </si>
  <si>
    <t xml:space="preserve">Há plano de transição para fontes renováveis e monitoramento do consumo de energia?</t>
  </si>
  <si>
    <t xml:space="preserve">Plano de transição energética e relatórios de consumo, se a empresa declarar sua existência.</t>
  </si>
  <si>
    <t xml:space="preserve">AG-PERF-PI17</t>
  </si>
  <si>
    <t xml:space="preserve">PI17.1</t>
  </si>
  <si>
    <t xml:space="preserve">Descreva o plano de transição energética e o acompanhamento de energia.</t>
  </si>
  <si>
    <t xml:space="preserve">AG-PERF-PI17.1</t>
  </si>
  <si>
    <t xml:space="preserve">PI18</t>
  </si>
  <si>
    <t xml:space="preserve">Existe ouvidoria ou setor equivalente para consumidores e colaboradores?</t>
  </si>
  <si>
    <t xml:space="preserve">Ato constitutivo ou regimento da ouvidoria, somente se existente ou expressamente solicitado.</t>
  </si>
  <si>
    <t xml:space="preserve">AG-PERF-PI18</t>
  </si>
  <si>
    <t xml:space="preserve">PI18.1</t>
  </si>
  <si>
    <t xml:space="preserve">Apresente documento formal que institua a ouvidoria ou setor equivalente.</t>
  </si>
  <si>
    <t xml:space="preserve">file</t>
  </si>
  <si>
    <t xml:space="preserve">AG-PERF-PI18.1</t>
  </si>
  <si>
    <t xml:space="preserve">PI19</t>
  </si>
  <si>
    <t xml:space="preserve">Houve reclamação ou denúncia relacionada a direitos do consumidor entre 2023 e 2025?</t>
  </si>
  <si>
    <t xml:space="preserve">AG-PERF-PI19</t>
  </si>
  <si>
    <t xml:space="preserve">PI19.1</t>
  </si>
  <si>
    <t xml:space="preserve">Descreva as reclamações e as providências adotadas.</t>
  </si>
  <si>
    <t xml:space="preserve">AG-PERF-PI19.1</t>
  </si>
  <si>
    <t xml:space="preserve">PI20</t>
  </si>
  <si>
    <t xml:space="preserve">Há política ou norma de diversidade e inclusão implementada?</t>
  </si>
  <si>
    <t xml:space="preserve">Política ou norma de diversidade e inclusão aprovada, somente se existente ou expressamente solicitada.; Política de diversidade e inclusão (não integra automaticamente as 11 políticas essenciais).</t>
  </si>
  <si>
    <t xml:space="preserve">AG-PERF-PI20</t>
  </si>
  <si>
    <t xml:space="preserve">PI20.1</t>
  </si>
  <si>
    <t xml:space="preserve">Anexe a política ou norma de diversidade e inclusão aprovada.</t>
  </si>
  <si>
    <t xml:space="preserve">AG-PERF-PI20.1</t>
  </si>
  <si>
    <t xml:space="preserve">AD1</t>
  </si>
  <si>
    <t xml:space="preserve">Admissibilidade</t>
  </si>
  <si>
    <t xml:space="preserve">Certidão fiscal federal RFB/PGFN, negativa ou positiva com efeitos de negativa, válida na submissão.</t>
  </si>
  <si>
    <t xml:space="preserve">Certidão conjunta RFB/PGFN vigente no CNPJ da empresa.</t>
  </si>
  <si>
    <t xml:space="preserve">AG-PERF-AD1</t>
  </si>
  <si>
    <t xml:space="preserve">AD2</t>
  </si>
  <si>
    <t xml:space="preserve">Certificado de Regularidade do FGTS vigente no envio do Perfil.</t>
  </si>
  <si>
    <t xml:space="preserve">Certificado de Regularidade do FGTS vigente no CNPJ da empresa.</t>
  </si>
  <si>
    <t xml:space="preserve">AG-PERF-AD2</t>
  </si>
  <si>
    <t xml:space="preserve">AD3</t>
  </si>
  <si>
    <t xml:space="preserve">Certidão Negativa de Débitos Trabalhistas ou positiva com efeito de negativa válida na submissão.</t>
  </si>
  <si>
    <t xml:space="preserve">Certidão de débitos trabalhistas vigente emitida pelo órgão competente.</t>
  </si>
  <si>
    <t xml:space="preserve">AG-PERF-AD3</t>
  </si>
  <si>
    <t xml:space="preserve">AD4</t>
  </si>
  <si>
    <t xml:space="preserve">Certidão Negativa de Débitos do Ibama válida na submissão.</t>
  </si>
  <si>
    <t xml:space="preserve">Certidão de débitos do Ibama pertinente à empresa, conforme condição de admissibilidade da edição.</t>
  </si>
  <si>
    <t xml:space="preserve">AG-PERF-AD4</t>
  </si>
  <si>
    <t xml:space="preserve">AD5</t>
  </si>
  <si>
    <t xml:space="preserve">A empresa não consta do CEIS?</t>
  </si>
  <si>
    <t xml:space="preserve">Consulta atualizada à relação CEIS no CNPJ.</t>
  </si>
  <si>
    <t xml:space="preserve">AG-PERF-AD5</t>
  </si>
  <si>
    <t xml:space="preserve">AD6</t>
  </si>
  <si>
    <t xml:space="preserve">A entidade está regular perante o CEPIM (quando aplicável)?</t>
  </si>
  <si>
    <t xml:space="preserve">ynna</t>
  </si>
  <si>
    <t xml:space="preserve">Consulta CEPIM somente quando o cadastro for aplicável à natureza da entidade.</t>
  </si>
  <si>
    <t xml:space="preserve">AG-PERF-AD6</t>
  </si>
  <si>
    <t xml:space="preserve">AD7</t>
  </si>
  <si>
    <t xml:space="preserve">A empresa não consta do CNEP?</t>
  </si>
  <si>
    <t xml:space="preserve">Consulta atualizada à relação CNEP no CNPJ.</t>
  </si>
  <si>
    <t xml:space="preserve">AG-PERF-AD7</t>
  </si>
  <si>
    <t xml:space="preserve">AD8</t>
  </si>
  <si>
    <t xml:space="preserve">A empresa não consta da Lista Suja do Trabalho Escravo?</t>
  </si>
  <si>
    <t xml:space="preserve">Consulta atualizada ao cadastro de empregadores referido na pergunta.</t>
  </si>
  <si>
    <t xml:space="preserve">AG-PERF-AD8</t>
  </si>
  <si>
    <t xml:space="preserve">AD9</t>
  </si>
  <si>
    <t xml:space="preserve">É signatária do Pacto Empresarial pela Integridade, do Instituto Ethos, no mesmo CNPJ?</t>
  </si>
  <si>
    <t xml:space="preserve">Comprovante de adesão ao pacto mencionado na pergunta, no CNPJ informado, se requerida pela edição.</t>
  </si>
  <si>
    <t xml:space="preserve">AG-PERF-AD9</t>
  </si>
  <si>
    <t xml:space="preserve">AD10</t>
  </si>
  <si>
    <t xml:space="preserve">É signatária do Pacto Brasil da CGU no mesmo CNPJ?</t>
  </si>
  <si>
    <t xml:space="preserve">Comprovante de assinatura do Pacto Brasil no mesmo CNPJ.</t>
  </si>
  <si>
    <t xml:space="preserve">AG-PERF-AD10</t>
  </si>
  <si>
    <t xml:space="preserve">AD11</t>
  </si>
  <si>
    <t xml:space="preserve">Anexe resultado oficial da autoavaliação do Pacto Brasil no SAMPI com pelo menos 70 pontos.</t>
  </si>
  <si>
    <t xml:space="preserve">Comprovante do resultado oficial da autoavaliação do Pacto Brasil no SAMPI para o mesmo CNPJ.</t>
  </si>
  <si>
    <t xml:space="preserve">AG-PERF-AD11</t>
  </si>
  <si>
    <t xml:space="preserve">AD12</t>
  </si>
  <si>
    <t xml:space="preserve">A empresa NÃO responde e NÃO sofreu condenação em PAR regido pela Lei 12.846/2013 nos últimos cinco anos?</t>
  </si>
  <si>
    <t xml:space="preserve">Declaração fundamentada e/ou consulta pública pertinente à situação processual indicada, conforme formulário da edição.</t>
  </si>
  <si>
    <t xml:space="preserve">AG-PERF-AD12</t>
  </si>
  <si>
    <t xml:space="preserve">AD13</t>
  </si>
  <si>
    <t xml:space="preserve">A empresa não está negociando acordo de leniência nos termos do regulamento?</t>
  </si>
  <si>
    <t xml:space="preserve">Declaração específica da empresa quanto à condição indicada, conforme formulário da edição.</t>
  </si>
  <si>
    <t xml:space="preserve">AG-PERF-AD13</t>
  </si>
  <si>
    <t xml:space="preserve">AD14</t>
  </si>
  <si>
    <t xml:space="preserve">A empresa não está sob monitoramento ostensivo em razão de acordo de leniência?</t>
  </si>
  <si>
    <t xml:space="preserve">AG-PERF-AD14</t>
  </si>
  <si>
    <t xml:space="preserve">AD15</t>
  </si>
  <si>
    <t xml:space="preserve">Anexe ato formal aprovado até 30/04/2024 que defina área ou responsável de integridade e atribuições.</t>
  </si>
  <si>
    <t xml:space="preserve">Ato formal de designação da instância de integridade, contendo data de aprovação e atribuições.</t>
  </si>
  <si>
    <t xml:space="preserve">AG-PERF-AD15</t>
  </si>
  <si>
    <t xml:space="preserve">AD16</t>
  </si>
  <si>
    <t xml:space="preserve">Anexe provas de publicação do Código de Ética em português no site institucional.</t>
  </si>
  <si>
    <t xml:space="preserve">Código de Ética em português e registro/link da página institucional em que está publicado.; Código de Ética (documento especificamente solicitado).</t>
  </si>
  <si>
    <t xml:space="preserve">AG-PERF-AD16</t>
  </si>
  <si>
    <t xml:space="preserve">PUBLICACAO_COMUNICACAO</t>
  </si>
  <si>
    <t xml:space="preserve">AD17</t>
  </si>
  <si>
    <t xml:space="preserve">Anexe provas de acesso direto, pelo site institucional, à plataforma de denúncias em português.</t>
  </si>
  <si>
    <t xml:space="preserve">Link e registro da página institucional de acesso ao canal de denúncias em português.</t>
  </si>
  <si>
    <t xml:space="preserve">AG-PERF-AD17</t>
  </si>
  <si>
    <t xml:space="preserve">AD18</t>
  </si>
  <si>
    <t xml:space="preserve">Anexe análise de riscos que trate expressamente de integridade no período 01/11/2022 a 31/03/2025.</t>
  </si>
  <si>
    <t xml:space="preserve">Relatório de análise de riscos que trate expressamente de integridade e indique data/período.</t>
  </si>
  <si>
    <t xml:space="preserve">AG-PERF-AD18</t>
  </si>
  <si>
    <t xml:space="preserve">AD19</t>
  </si>
  <si>
    <t xml:space="preserve">Anexe evidências de indicadores de monitoramento do programa de integridade.</t>
  </si>
  <si>
    <t xml:space="preserve">Relatório ou painel de indicadores de monitoramento do programa de integridade com período e fontes.</t>
  </si>
  <si>
    <t xml:space="preserve">AG-PERF-AD19</t>
  </si>
  <si>
    <t xml:space="preserve">Etapa I · Pacto Essencial — 10 medidas mínimas (perguntas QPE próprias)</t>
  </si>
  <si>
    <t xml:space="preserve">Fonte: portal (DB.Q trilha Essenciais + DB.ESS). A coluna "Medida essencial" liga a pergunta ao item ITP e ao item do Pacto (PB).</t>
  </si>
  <si>
    <t xml:space="preserve">Nº formulário</t>
  </si>
  <si>
    <t xml:space="preserve">Trilha</t>
  </si>
  <si>
    <t xml:space="preserve">Área</t>
  </si>
  <si>
    <t xml:space="preserve">Peso (pts)</t>
  </si>
  <si>
    <t xml:space="preserve">Natureza</t>
  </si>
  <si>
    <t xml:space="preserve">Janela</t>
  </si>
  <si>
    <t xml:space="preserve">Itens do Pacto</t>
  </si>
  <si>
    <t xml:space="preserve">Itens ISO</t>
  </si>
  <si>
    <t xml:space="preserve">Incisos art. 57</t>
  </si>
  <si>
    <t xml:space="preserve">Licitações?</t>
  </si>
  <si>
    <t xml:space="preserve">Medida essencial (ITP)</t>
  </si>
  <si>
    <t xml:space="preserve">QPE-006</t>
  </si>
  <si>
    <t xml:space="preserve">2.2</t>
  </si>
  <si>
    <t xml:space="preserve">Essenciais</t>
  </si>
  <si>
    <t xml:space="preserve">Comprometimento da Alta Direção</t>
  </si>
  <si>
    <t xml:space="preserve">A alta direção da empresa supervisiona a implantação e a aplicação do programa de integridade, por meio do recebimento e avaliação de relatórios periódicos de acompanhamento das atividades relacionadas ao programa de integridade, inclusive de suas controladas/subsidiárias, quando for o caso? Se sim, indicar a forma e a periodicidade com que a alta direção participa da supervisão do programa de integridade, bem como descrever o tipo e o conteúdo dos documentos que lhe foram apresentados para subsidiar suas decisões.</t>
  </si>
  <si>
    <t xml:space="preserve">Documentos que indiquem a forma como a alta direção participou da supervisão da implantação e da aplicação do programa de integridade, tais como: − documentos que comprovem a frequência das ações de supervisão do programa pela alta direção; − atas de reuniões entre membros da alta direção e responsáveis pelas atividades do programa de integridade; − e-mails, apresentações feitas em reuniões, registros de frequência das ações de supervisão; − assinaturas de membros da alta direção em relatórios de atividades do programa de integridade. Inclua também, quando existente, a política ou norma interna de governança que formaliza o dever de supervisão da alta direção sobre o programa de integridade.</t>
  </si>
  <si>
    <t xml:space="preserve">AG-FCG-QPE-006</t>
  </si>
  <si>
    <t xml:space="preserve">Execução</t>
  </si>
  <si>
    <t xml:space="preserve">PERIODO</t>
  </si>
  <si>
    <t xml:space="preserve">1.1; 2.2</t>
  </si>
  <si>
    <t xml:space="preserve">ISO-08; ISO-44; ISO-47; ISO-48</t>
  </si>
  <si>
    <t xml:space="preserve">I</t>
  </si>
  <si>
    <t xml:space="preserve">ITP-001 / PB-001</t>
  </si>
  <si>
    <t xml:space="preserve">QPE-024</t>
  </si>
  <si>
    <t xml:space="preserve">4.1</t>
  </si>
  <si>
    <t xml:space="preserve">Instância Responsável pelo Programa</t>
  </si>
  <si>
    <t xml:space="preserve">A empresa possui área específica ou pessoa responsável pela aplicação do programa de integridade? Se sim, informar a data em que a área foi instituída ou em que a pessoa responsável foi contratada/designada para a função, o currículo do atual responsável pela instância interna, o processo de seleção do atual responsável pela instância interna, e o órgão competente por sua contratação e eventual demissão.</t>
  </si>
  <si>
    <t xml:space="preserve">Documentos que comprovem a existência de uma instância interna (seja uma área ou pessoa designada) responsável pela implementação, fiscalização e monitoramento contínuo do programa de integridade no Brasil, tais como: políticas, regimento interno, estatuto, job description etc. Não serão considerados como área específica órgãos colegiados (comitês, conselhos etc.). Inclua também, quando existente, a política ou diretriz interna que formaliza as atribuições e a autonomia da instância responsável pelo programa (além do regimento/estatuto já solicitado).</t>
  </si>
  <si>
    <t xml:space="preserve">AG-FCG-QPE-024</t>
  </si>
  <si>
    <t xml:space="preserve">Desenho</t>
  </si>
  <si>
    <t xml:space="preserve">VIGENTE</t>
  </si>
  <si>
    <t xml:space="preserve">ISO-14</t>
  </si>
  <si>
    <t xml:space="preserve">IX</t>
  </si>
  <si>
    <t xml:space="preserve">ITP-002 / PB-009</t>
  </si>
  <si>
    <t xml:space="preserve">QPE-041</t>
  </si>
  <si>
    <t xml:space="preserve">6.2</t>
  </si>
  <si>
    <t xml:space="preserve">Gestão de Riscos para a Integridade</t>
  </si>
  <si>
    <t xml:space="preserve">No período avaliado, a empresa realizou análise de riscos para integridade, incluindo uma análise que contemple expressamente riscos relacionados a corrupção e fraude? (*Medida mínima prevista no art. 14 do Regulamento, de caráter obrigatório)</t>
  </si>
  <si>
    <t xml:space="preserve">Evidências da análise de riscos para integridade, relacionadas à corrupção e fraude, realizada pela própria empresa ou por terceiros,; POL-06 — Due Diligence de Terceiros Inclua também a política ou diretriz de gestão de riscos de integridade aplicável, quando existente, além da própria análise de riscos.</t>
  </si>
  <si>
    <t xml:space="preserve">AG-FCG-QPE-041</t>
  </si>
  <si>
    <t xml:space="preserve">5.1</t>
  </si>
  <si>
    <t xml:space="preserve">V</t>
  </si>
  <si>
    <t xml:space="preserve">ITP-003 / PB-011</t>
  </si>
  <si>
    <t xml:space="preserve">QPE-051</t>
  </si>
  <si>
    <t xml:space="preserve">7.1</t>
  </si>
  <si>
    <t xml:space="preserve">Código de Ética, Políticas e Procedimentos</t>
  </si>
  <si>
    <t xml:space="preserve">A empresa possui Código de Ética e Conduta, ou documento equivalente, disponível em português? (Medida mínima prevista no art. 14 do Regulamento, de caráter obrigatório)</t>
  </si>
  <si>
    <t xml:space="preserve">Código de Ética, ou documento equivalente, em língua portuguesa.; POL-01 — Código de Ética Inclua também eventuais diretrizes ou guias complementares ao Código de Ética (ex.: guia de aplicação, FAQ interno), quando existentes.</t>
  </si>
  <si>
    <t xml:space="preserve">AG-FCG-QPE-051</t>
  </si>
  <si>
    <t xml:space="preserve">6.1</t>
  </si>
  <si>
    <t xml:space="preserve">ISO-12</t>
  </si>
  <si>
    <t xml:space="preserve">II</t>
  </si>
  <si>
    <t xml:space="preserve">ITP-004 / PB-016</t>
  </si>
  <si>
    <t xml:space="preserve">QPE-107</t>
  </si>
  <si>
    <t xml:space="preserve">11.3.1</t>
  </si>
  <si>
    <t xml:space="preserve">Treinamento e Comunicação</t>
  </si>
  <si>
    <t xml:space="preserve">No período avaliado, a empresa realizou treinamentos: direcionados a todos os empregados, abordando conteúdo geral do programa de integridade, como Código de Ética, canais de denúncia e política anticorrupção?</t>
  </si>
  <si>
    <t xml:space="preserve">Listas de presenças acompanhadas de materiais de estudo, links de acesso a treinamentos online ou registros de frequência e participação que demonstrem: o treinamento geral dos colaboradores nos temas fundamentais do programa de integridade (código de ética, canais de denúncia e política anticorrupção);; POL-01 — Código de Ética Inclua também, quando existente, a política ou diretriz de treinamento e capacitação em integridade que rege o conteúdo e a periodicidade das ações formativas.</t>
  </si>
  <si>
    <t xml:space="preserve">AG-FCG-QPE-107</t>
  </si>
  <si>
    <t xml:space="preserve">TREINAMENTO</t>
  </si>
  <si>
    <t xml:space="preserve">8.1</t>
  </si>
  <si>
    <t xml:space="preserve">ISO-26; ISO-27</t>
  </si>
  <si>
    <t xml:space="preserve">IV</t>
  </si>
  <si>
    <t xml:space="preserve">ITP-006 / PB-036</t>
  </si>
  <si>
    <t xml:space="preserve">QPE-128</t>
  </si>
  <si>
    <t xml:space="preserve">12.3.7</t>
  </si>
  <si>
    <t xml:space="preserve">As ações de comunicação realizadas pela empresa no período avaliado: foram realizadas por diferentes meios, para alcançar o público interno da empresa em toda sua diversidade?</t>
  </si>
  <si>
    <t xml:space="preserve">Correlacionar os diversos públicos de empregados da empresa com os meios de comunicação utilizados (e-mails, vídeos, cartazes, folders, registros da intranet, site etc.), com o objetivo de avaliar se todo o público interno foi alcançado. Inclua também, quando existente, a política ou diretriz de comunicação interna sobre integridade que orienta essas ações.</t>
  </si>
  <si>
    <t xml:space="preserve">AG-FCG-QPE-128</t>
  </si>
  <si>
    <t xml:space="preserve">9.1</t>
  </si>
  <si>
    <t xml:space="preserve">ISO-28</t>
  </si>
  <si>
    <t xml:space="preserve">ITP-007 / PB-039</t>
  </si>
  <si>
    <t xml:space="preserve">QPE-169</t>
  </si>
  <si>
    <t xml:space="preserve">19.1</t>
  </si>
  <si>
    <t xml:space="preserve">Canal de Denúncia e Medidas Disciplinares</t>
  </si>
  <si>
    <t xml:space="preserve">*A empresa possui canais para realização de denúncias, disponíveis em português?</t>
  </si>
  <si>
    <t xml:space="preserve">Link do site e caminho de navegação desde a página inicial até o canal de denúncias. Inclua também a política ou regulamento interno do canal de denúncias (sigilo, apuração e vedação a retaliação), quando existente, além do link de acesso.</t>
  </si>
  <si>
    <t xml:space="preserve">AG-FCG-QPE-169</t>
  </si>
  <si>
    <t xml:space="preserve">14.1</t>
  </si>
  <si>
    <t xml:space="preserve">ISO-39</t>
  </si>
  <si>
    <t xml:space="preserve">X</t>
  </si>
  <si>
    <t xml:space="preserve">ITP-008 / PB-053</t>
  </si>
  <si>
    <t xml:space="preserve">QPE-218</t>
  </si>
  <si>
    <t xml:space="preserve">23.2</t>
  </si>
  <si>
    <t xml:space="preserve">Transparência e Responsabilidade Socioambiental</t>
  </si>
  <si>
    <t xml:space="preserve">Existe uma seção específica no site da empresa que reúna as informações sobre o programa de integridade?</t>
  </si>
  <si>
    <t xml:space="preserve">Informar tanto o link de acesso quanto o caminho da página inicial do site da empresa até a seção específica no site da empresa que reúna as informações sobre o programa de integridade. Inclua também, quando existente, a diretriz ou guia de comunicação institucional que rege o conteúdo publicado sobre o programa de integridade.</t>
  </si>
  <si>
    <t xml:space="preserve">AG-FCG-QPE-218</t>
  </si>
  <si>
    <t xml:space="preserve">EXECUCAO_CONTROLE</t>
  </si>
  <si>
    <t xml:space="preserve">Publicação</t>
  </si>
  <si>
    <t xml:space="preserve">ITP-009 / PB-072</t>
  </si>
  <si>
    <t xml:space="preserve">QPE-221</t>
  </si>
  <si>
    <t xml:space="preserve">24.3</t>
  </si>
  <si>
    <t xml:space="preserve">A empresa possui políticas e procedimentos para o tratamento e a destinação sustentável de resíduos sólidos, efluentes e gases gerados em suas áreas administrativas e/ou produtivas, considerando os impactos ambientais de suas atividades?</t>
  </si>
  <si>
    <t xml:space="preserve">Política, norma ou procedimento formal, aprovado pela direção da empresa e amplamente divulgado, que disponha sobre regras de tratamento e destino de resíduos sólidos e efluentes, considerando seus impactos no meio ambiente, sua mitigação e potencialidades de uso sustentável. Inclua também eventuais guias operacionais complementares à política ambiental, quando existentes, além da própria política já solicitada.</t>
  </si>
  <si>
    <t xml:space="preserve">AG-FCG-QPE-221</t>
  </si>
  <si>
    <t xml:space="preserve">18.1</t>
  </si>
  <si>
    <t xml:space="preserve">ITP-010 / PB-069</t>
  </si>
  <si>
    <t xml:space="preserve">QPE-073</t>
  </si>
  <si>
    <t xml:space="preserve">9.1.1</t>
  </si>
  <si>
    <t xml:space="preserve">A empresa possui políticas e procedimentos de integridade que: vedam expressamente a concessão de vantagens indevidas, econômicas ou não, a agentes públicos?</t>
  </si>
  <si>
    <t xml:space="preserve">Políticas, regras, orientações e/ou procedimentos (indicar a seção e a página) que: vedam expressamente a concessão de vantagens indevidas, econômicas ou não, a agentes públicos;; POL-05 — Relacionamento com o Setor Público Inclua também eventuais guias práticos ou diretrizes complementares sobre relacionamento com agentes públicos, quando existentes, além da própria política.</t>
  </si>
  <si>
    <t xml:space="preserve">AG-FCG-QPE-073</t>
  </si>
  <si>
    <t xml:space="preserve">7.1.1</t>
  </si>
  <si>
    <t xml:space="preserve">ISO-12; ISO-31</t>
  </si>
  <si>
    <t xml:space="preserve">II; VIII</t>
  </si>
  <si>
    <t xml:space="preserve">ITP-005 / PB-026</t>
  </si>
  <si>
    <t xml:space="preserve">Total de perguntas / pontos</t>
  </si>
  <si>
    <t xml:space="preserve">Etapa II · Pacto Completo — catálogo de 80 itens (11 reaproveitáveis das Essenciais + 69 complementos)</t>
  </si>
  <si>
    <t xml:space="preserve">Fonte: portal (DB.PACTO). Regra do portal: item cujo QPE vinculado é uma Essencial = reaproveitável; os demais = complemento. Redação sintética a validar no SAMPI.</t>
  </si>
  <si>
    <t xml:space="preserve">Nº</t>
  </si>
  <si>
    <t xml:space="preserve">Item do Pacto</t>
  </si>
  <si>
    <t xml:space="preserve">Medida essencial?</t>
  </si>
  <si>
    <t xml:space="preserve">Perguntas QPE vinculadas</t>
  </si>
  <si>
    <t xml:space="preserve">Medida (ITP)</t>
  </si>
  <si>
    <t xml:space="preserve">Classe</t>
  </si>
  <si>
    <t xml:space="preserve">Fonte</t>
  </si>
  <si>
    <t xml:space="preserve">PB-001</t>
  </si>
  <si>
    <t xml:space="preserve">1.1</t>
  </si>
  <si>
    <t xml:space="preserve">Área I</t>
  </si>
  <si>
    <t xml:space="preserve">Os membros da alta direção apoiam de forma inequívoca a implementação de medidas de integridade?</t>
  </si>
  <si>
    <t xml:space="preserve">ITP-001</t>
  </si>
  <si>
    <t xml:space="preserve">Reaproveitável (Essencial)</t>
  </si>
  <si>
    <t xml:space="preserve">DIM_PACTO do modelo Simples GRC; redação sintética a validar no SAMPI</t>
  </si>
  <si>
    <t xml:space="preserve">PB-002</t>
  </si>
  <si>
    <t xml:space="preserve">1.2</t>
  </si>
  <si>
    <t xml:space="preserve">Os membros manifestam publicamente o apoio à integridade empresarial de forma personalizada?</t>
  </si>
  <si>
    <t xml:space="preserve">QPE-014</t>
  </si>
  <si>
    <t xml:space="preserve">Complemento</t>
  </si>
  <si>
    <t xml:space="preserve">PB-003</t>
  </si>
  <si>
    <t xml:space="preserve">1.3</t>
  </si>
  <si>
    <t xml:space="preserve">As mensagens incentivam conduta ética e tolerância zero com corrupção?</t>
  </si>
  <si>
    <t xml:space="preserve">QPE-019</t>
  </si>
  <si>
    <t xml:space="preserve">PB-004</t>
  </si>
  <si>
    <t xml:space="preserve">1.4</t>
  </si>
  <si>
    <t xml:space="preserve">As mensagens promovem preservação ambiental e respeito aos direitos humanos e trabalhistas?</t>
  </si>
  <si>
    <t xml:space="preserve">QPE-013; QPE-020</t>
  </si>
  <si>
    <t xml:space="preserve">PB-005</t>
  </si>
  <si>
    <t xml:space="preserve">2.1</t>
  </si>
  <si>
    <t xml:space="preserve">A aprovação das principais políticas de integridade é feita pelas elevadas instâncias decisórias?</t>
  </si>
  <si>
    <t xml:space="preserve">QPE-005</t>
  </si>
  <si>
    <t xml:space="preserve">PB-006</t>
  </si>
  <si>
    <t xml:space="preserve">A alta direção supervisiona implantação mediante recebimento de relatórios periódicos?</t>
  </si>
  <si>
    <t xml:space="preserve">PB-007</t>
  </si>
  <si>
    <t xml:space="preserve">3.1</t>
  </si>
  <si>
    <t xml:space="preserve">Adota formalmente critérios de integridade para seleção de candidatos à alta direção?</t>
  </si>
  <si>
    <t xml:space="preserve">QPE-001; QPE-002</t>
  </si>
  <si>
    <t xml:space="preserve">PB-008</t>
  </si>
  <si>
    <t xml:space="preserve">3.2</t>
  </si>
  <si>
    <t xml:space="preserve">Remuneração variável está condicionada a indicadores relacionados à aplicação de medidas?</t>
  </si>
  <si>
    <t xml:space="preserve">QPE-004</t>
  </si>
  <si>
    <t xml:space="preserve">PB-009</t>
  </si>
  <si>
    <t xml:space="preserve">Área II</t>
  </si>
  <si>
    <t xml:space="preserve">A empresa possui instância interna responsável pela aplicação do programa de integridade?</t>
  </si>
  <si>
    <t xml:space="preserve">ITP-002</t>
  </si>
  <si>
    <t xml:space="preserve">PB-010</t>
  </si>
  <si>
    <t xml:space="preserve">4.2</t>
  </si>
  <si>
    <t xml:space="preserve">A instância está formalmente constituída com atribuições em documento aprovado?</t>
  </si>
  <si>
    <t xml:space="preserve">QPE-025</t>
  </si>
  <si>
    <t xml:space="preserve">PB-011</t>
  </si>
  <si>
    <t xml:space="preserve">Área III</t>
  </si>
  <si>
    <t xml:space="preserve">Realizou análise de riscos nos últimos 24 meses contemplando expressamente corrupção e fraude?</t>
  </si>
  <si>
    <t xml:space="preserve">ITP-003</t>
  </si>
  <si>
    <t xml:space="preserve">PB-012</t>
  </si>
  <si>
    <t xml:space="preserve">5.2</t>
  </si>
  <si>
    <t xml:space="preserve">A análise contempla classificação dos riscos por probabilidade e impacto?</t>
  </si>
  <si>
    <t xml:space="preserve">QPE-042</t>
  </si>
  <si>
    <t xml:space="preserve">PB-013</t>
  </si>
  <si>
    <t xml:space="preserve">5.3</t>
  </si>
  <si>
    <t xml:space="preserve">Estabeleceu medidas de mitigação com prazos e responsáveis definidos?</t>
  </si>
  <si>
    <t xml:space="preserve">QPE-043; QPE-044</t>
  </si>
  <si>
    <t xml:space="preserve">PB-014</t>
  </si>
  <si>
    <t xml:space="preserve">5.4</t>
  </si>
  <si>
    <t xml:space="preserve">Possui normativo sobre gestão de riscos prevendo reavaliação periódica?</t>
  </si>
  <si>
    <t xml:space="preserve">QPE-037; QPE-038</t>
  </si>
  <si>
    <t xml:space="preserve">PB-015</t>
  </si>
  <si>
    <t xml:space="preserve">5.5</t>
  </si>
  <si>
    <t xml:space="preserve">Identifica e trata riscos relacionados a impactos ambientais de suas atividades?</t>
  </si>
  <si>
    <t xml:space="preserve">QPE-050</t>
  </si>
  <si>
    <t xml:space="preserve">PB-016</t>
  </si>
  <si>
    <t xml:space="preserve">Área IV</t>
  </si>
  <si>
    <t xml:space="preserve">Possui Código de Ética e Conduta ou equivalente em português?</t>
  </si>
  <si>
    <t xml:space="preserve">ITP-004</t>
  </si>
  <si>
    <t xml:space="preserve">PB-017</t>
  </si>
  <si>
    <t xml:space="preserve">6.2.1</t>
  </si>
  <si>
    <t xml:space="preserve">O código foi formalmente aprovado pela alta direção?</t>
  </si>
  <si>
    <t xml:space="preserve">QPE-052</t>
  </si>
  <si>
    <t xml:space="preserve">PB-018</t>
  </si>
  <si>
    <t xml:space="preserve">6.2.2</t>
  </si>
  <si>
    <t xml:space="preserve">Inclui expressamente ética e integridade entre princípios ou valores?</t>
  </si>
  <si>
    <t xml:space="preserve">QPE-053</t>
  </si>
  <si>
    <t xml:space="preserve">PB-019</t>
  </si>
  <si>
    <t xml:space="preserve">6.2.3</t>
  </si>
  <si>
    <t xml:space="preserve">Está alinhado com legislação anticorrupção brasileira, vedando corrupção?</t>
  </si>
  <si>
    <t xml:space="preserve">QPE-055</t>
  </si>
  <si>
    <t xml:space="preserve">PB-020</t>
  </si>
  <si>
    <t xml:space="preserve">6.2.4</t>
  </si>
  <si>
    <t xml:space="preserve">Expressa compromisso com respeito aos direitos humanos?</t>
  </si>
  <si>
    <t xml:space="preserve">PB-021</t>
  </si>
  <si>
    <t xml:space="preserve">6.2.5</t>
  </si>
  <si>
    <t xml:space="preserve">Expressa compromisso com direitos trabalhistas e salário justo?</t>
  </si>
  <si>
    <t xml:space="preserve">PB-022</t>
  </si>
  <si>
    <t xml:space="preserve">6.2.6</t>
  </si>
  <si>
    <t xml:space="preserve">Expressa compromisso com preservação ambiental e desenvolvimento sustentável?</t>
  </si>
  <si>
    <t xml:space="preserve">QPE-061</t>
  </si>
  <si>
    <t xml:space="preserve">PB-023</t>
  </si>
  <si>
    <t xml:space="preserve">6.2.7</t>
  </si>
  <si>
    <t xml:space="preserve">Estabelece condutas permitidas e proibidas pela empresa?</t>
  </si>
  <si>
    <t xml:space="preserve">QPE-056</t>
  </si>
  <si>
    <t xml:space="preserve">PB-024</t>
  </si>
  <si>
    <t xml:space="preserve">6.2.8</t>
  </si>
  <si>
    <t xml:space="preserve">Menciona possibilidade de sanções para violações, inclusive para alta direção?</t>
  </si>
  <si>
    <t xml:space="preserve">QPE-062</t>
  </si>
  <si>
    <t xml:space="preserve">PB-025</t>
  </si>
  <si>
    <t xml:space="preserve">6.3</t>
  </si>
  <si>
    <t xml:space="preserve">O código encontra-se disponível na página institucional ou redes sociais?</t>
  </si>
  <si>
    <t xml:space="preserve">QPE-066</t>
  </si>
  <si>
    <t xml:space="preserve">PB-026</t>
  </si>
  <si>
    <t xml:space="preserve">Políticas vedam expressamente concessão de vantagens econômicas a agentes públicos?</t>
  </si>
  <si>
    <t xml:space="preserve">ITP-005</t>
  </si>
  <si>
    <t xml:space="preserve">PB-027</t>
  </si>
  <si>
    <t xml:space="preserve">7.1.2</t>
  </si>
  <si>
    <t xml:space="preserve">Tratam do oferecimento de presentes, brindes e hospitalidades a agentes públicos?</t>
  </si>
  <si>
    <t xml:space="preserve">QPE-074</t>
  </si>
  <si>
    <t xml:space="preserve">PB-028</t>
  </si>
  <si>
    <t xml:space="preserve">7.1.3</t>
  </si>
  <si>
    <t xml:space="preserve">Tratam prevenção de conflito de interesses com Administração Pública?</t>
  </si>
  <si>
    <t xml:space="preserve">QPE-075</t>
  </si>
  <si>
    <t xml:space="preserve">PB-029</t>
  </si>
  <si>
    <t xml:space="preserve">7.1.4</t>
  </si>
  <si>
    <t xml:space="preserve">Estabelecem orientações sobre reuniões e interações com agentes públicos?</t>
  </si>
  <si>
    <t xml:space="preserve">QPE-076</t>
  </si>
  <si>
    <t xml:space="preserve">PB-030</t>
  </si>
  <si>
    <t xml:space="preserve">7.1.5</t>
  </si>
  <si>
    <t xml:space="preserve">Tratam realização de doação e patrocínio ou informam que não realiza?</t>
  </si>
  <si>
    <t xml:space="preserve">QPE-078</t>
  </si>
  <si>
    <t xml:space="preserve">PB-031</t>
  </si>
  <si>
    <t xml:space="preserve">7.1.6</t>
  </si>
  <si>
    <t xml:space="preserve">Estabelecem orientações específicas para prevenção de fraudes em licitações?</t>
  </si>
  <si>
    <t xml:space="preserve">PB-032</t>
  </si>
  <si>
    <t xml:space="preserve">7.1.7</t>
  </si>
  <si>
    <t xml:space="preserve">Estabelecem orientações para prevenção de fraudes em execução de contratos?</t>
  </si>
  <si>
    <t xml:space="preserve">QPE-093</t>
  </si>
  <si>
    <t xml:space="preserve">PB-033</t>
  </si>
  <si>
    <t xml:space="preserve">7.1.8</t>
  </si>
  <si>
    <t xml:space="preserve">Vedam expressamente exploração de trabalho infantil?</t>
  </si>
  <si>
    <t xml:space="preserve">PB-034</t>
  </si>
  <si>
    <t xml:space="preserve">7.1.9</t>
  </si>
  <si>
    <t xml:space="preserve">Vedam expressamente trabalho escravo ou em condições análogas?</t>
  </si>
  <si>
    <t xml:space="preserve">PB-035</t>
  </si>
  <si>
    <t xml:space="preserve">7.2</t>
  </si>
  <si>
    <t xml:space="preserve">As políticas e procedimentos foram aplicados periodicamente nos últimos 12 meses?</t>
  </si>
  <si>
    <t xml:space="preserve">QPE-083</t>
  </si>
  <si>
    <t xml:space="preserve">PB-036</t>
  </si>
  <si>
    <t xml:space="preserve">Área V</t>
  </si>
  <si>
    <t xml:space="preserve">Realizou treinamentos nos últimos 12 meses abordando conteúdo de integridade?</t>
  </si>
  <si>
    <t xml:space="preserve">ITP-006</t>
  </si>
  <si>
    <t xml:space="preserve">PB-037</t>
  </si>
  <si>
    <t xml:space="preserve">8.2</t>
  </si>
  <si>
    <t xml:space="preserve">Os treinamentos são planejados considerando características de cada público-alvo?</t>
  </si>
  <si>
    <t xml:space="preserve">QPE-103</t>
  </si>
  <si>
    <t xml:space="preserve">PB-038</t>
  </si>
  <si>
    <t xml:space="preserve">8.3</t>
  </si>
  <si>
    <t xml:space="preserve">Os treinamentos atingiram percentual relevante do público-alvo?</t>
  </si>
  <si>
    <t xml:space="preserve">QPE-114</t>
  </si>
  <si>
    <t xml:space="preserve">PB-039</t>
  </si>
  <si>
    <t xml:space="preserve">Promoveu ações de comunicação nos últimos 12 meses para fomentar cultura de integridade?</t>
  </si>
  <si>
    <t xml:space="preserve">ITP-007</t>
  </si>
  <si>
    <t xml:space="preserve">PB-040</t>
  </si>
  <si>
    <t xml:space="preserve">9.2.1</t>
  </si>
  <si>
    <t xml:space="preserve">As ações difundiram aspectos gerais do programa como Código e Canal de Denúncia?</t>
  </si>
  <si>
    <t xml:space="preserve">QPE-122; QPE-123</t>
  </si>
  <si>
    <t xml:space="preserve">PB-041</t>
  </si>
  <si>
    <t xml:space="preserve">9.2.2</t>
  </si>
  <si>
    <t xml:space="preserve">Buscaram difundir necessidade de prevenir assédio e discriminação?</t>
  </si>
  <si>
    <t xml:space="preserve">QPE-124</t>
  </si>
  <si>
    <t xml:space="preserve">PB-042</t>
  </si>
  <si>
    <t xml:space="preserve">9.2.3</t>
  </si>
  <si>
    <t xml:space="preserve">Buscaram difundir importância da preservação ambiental e desenvolvimento sustentável?</t>
  </si>
  <si>
    <t xml:space="preserve">QPE-125</t>
  </si>
  <si>
    <t xml:space="preserve">PB-043</t>
  </si>
  <si>
    <t xml:space="preserve">10.1</t>
  </si>
  <si>
    <t xml:space="preserve">Área VI</t>
  </si>
  <si>
    <t xml:space="preserve">Possui procedimentos definidos para lançamentos contábeis com fluxogramas e segregação?</t>
  </si>
  <si>
    <t xml:space="preserve">QPE-132; QPE-133; QPE-134</t>
  </si>
  <si>
    <t xml:space="preserve">PB-044</t>
  </si>
  <si>
    <t xml:space="preserve">10.2</t>
  </si>
  <si>
    <t xml:space="preserve">Os registros contábeis são feitos de forma detalhada para evitar irregularidades?</t>
  </si>
  <si>
    <t xml:space="preserve">QPE-135</t>
  </si>
  <si>
    <t xml:space="preserve">PB-045</t>
  </si>
  <si>
    <t xml:space="preserve">10.3</t>
  </si>
  <si>
    <t xml:space="preserve">Possui área de auditoria interna, formalizada ou terceirizada?</t>
  </si>
  <si>
    <t xml:space="preserve">QPE-137</t>
  </si>
  <si>
    <t xml:space="preserve">PB-046</t>
  </si>
  <si>
    <t xml:space="preserve">11.1.1</t>
  </si>
  <si>
    <t xml:space="preserve">Área VII</t>
  </si>
  <si>
    <t xml:space="preserve">Realiza diligências verificando possível envolvimento em corrupção e fraude?</t>
  </si>
  <si>
    <t xml:space="preserve">QPE-144</t>
  </si>
  <si>
    <t xml:space="preserve">PB-047</t>
  </si>
  <si>
    <t xml:space="preserve">11.1.2</t>
  </si>
  <si>
    <t xml:space="preserve">Verifica registro em listas sujas de trabalho escravo?</t>
  </si>
  <si>
    <t xml:space="preserve">PB-048</t>
  </si>
  <si>
    <t xml:space="preserve">11.2</t>
  </si>
  <si>
    <t xml:space="preserve">Realizou efetivamente diligências de integridade nos últimos 12 meses?</t>
  </si>
  <si>
    <t xml:space="preserve">QPE-159</t>
  </si>
  <si>
    <t xml:space="preserve">PB-049</t>
  </si>
  <si>
    <t xml:space="preserve">12.1.1</t>
  </si>
  <si>
    <t xml:space="preserve">Inclui cláusulas nos contratos estabelecendo obrigatoriedade de normas éticas?</t>
  </si>
  <si>
    <t xml:space="preserve">QPE-160; QPE-161</t>
  </si>
  <si>
    <t xml:space="preserve">PB-050</t>
  </si>
  <si>
    <t xml:space="preserve">12.1.2</t>
  </si>
  <si>
    <t xml:space="preserve">Exigem observância de direitos trabalhistas, proibindo trabalho infantil?</t>
  </si>
  <si>
    <t xml:space="preserve">PB-051</t>
  </si>
  <si>
    <t xml:space="preserve">12.2</t>
  </si>
  <si>
    <t xml:space="preserve">As cláusulas preveem aplicação de penalidades ou rescisão em caso de descumprimento?</t>
  </si>
  <si>
    <t xml:space="preserve">QPE-163</t>
  </si>
  <si>
    <t xml:space="preserve">PB-052</t>
  </si>
  <si>
    <t xml:space="preserve">13.1</t>
  </si>
  <si>
    <t xml:space="preserve">Possui políticas específicas para fusões/aquisições verificando histórico de corrupção?</t>
  </si>
  <si>
    <t xml:space="preserve">QPE-164; QPE-168</t>
  </si>
  <si>
    <t xml:space="preserve">PB-053</t>
  </si>
  <si>
    <t xml:space="preserve">Área VIII</t>
  </si>
  <si>
    <t xml:space="preserve">Possui canal para realização de denúncias disponível em português?</t>
  </si>
  <si>
    <t xml:space="preserve">ITP-008</t>
  </si>
  <si>
    <t xml:space="preserve">PB-054</t>
  </si>
  <si>
    <t xml:space="preserve">14.2.1</t>
  </si>
  <si>
    <t xml:space="preserve">O canal pode ser utilizado por empregados?</t>
  </si>
  <si>
    <t xml:space="preserve">QPE-170</t>
  </si>
  <si>
    <t xml:space="preserve">PB-055</t>
  </si>
  <si>
    <t xml:space="preserve">14.2.2</t>
  </si>
  <si>
    <t xml:space="preserve">O canal pode ser utilizado pelo público externo?</t>
  </si>
  <si>
    <t xml:space="preserve">QPE-171</t>
  </si>
  <si>
    <t xml:space="preserve">PB-056</t>
  </si>
  <si>
    <t xml:space="preserve">14.2.3</t>
  </si>
  <si>
    <t xml:space="preserve">É acessível a partir da página institucional ou redes sociais?</t>
  </si>
  <si>
    <t xml:space="preserve">QPE-178</t>
  </si>
  <si>
    <t xml:space="preserve">PB-057</t>
  </si>
  <si>
    <t xml:space="preserve">14.2.4</t>
  </si>
  <si>
    <t xml:space="preserve">Indica expressamente garantias de proteção aos denunciantes de boa-fé?</t>
  </si>
  <si>
    <t xml:space="preserve">QPE-175</t>
  </si>
  <si>
    <t xml:space="preserve">PB-058</t>
  </si>
  <si>
    <t xml:space="preserve">14.2.5</t>
  </si>
  <si>
    <t xml:space="preserve">Permite acompanhamento da apuração pelo denunciante?</t>
  </si>
  <si>
    <t xml:space="preserve">QPE-176</t>
  </si>
  <si>
    <t xml:space="preserve">PB-059</t>
  </si>
  <si>
    <t xml:space="preserve">14.3</t>
  </si>
  <si>
    <t xml:space="preserve">Monitora canais mediante análise estatística de dados sobre denúncias?</t>
  </si>
  <si>
    <t xml:space="preserve">QPE-203</t>
  </si>
  <si>
    <t xml:space="preserve">PB-060</t>
  </si>
  <si>
    <t xml:space="preserve">15.1</t>
  </si>
  <si>
    <t xml:space="preserve">Possui políticas e procedimentos estabelecendo fluxo de tratamento de denúncias?</t>
  </si>
  <si>
    <t xml:space="preserve">QPE-179</t>
  </si>
  <si>
    <t xml:space="preserve">PB-061</t>
  </si>
  <si>
    <t xml:space="preserve">15.2</t>
  </si>
  <si>
    <t xml:space="preserve">Realizou apuração de denúncias nos últimos 12 meses?</t>
  </si>
  <si>
    <t xml:space="preserve">QPE-187</t>
  </si>
  <si>
    <t xml:space="preserve">PB-062</t>
  </si>
  <si>
    <t xml:space="preserve">16.1</t>
  </si>
  <si>
    <t xml:space="preserve">Possui políticas definindo medidas disciplinares aplicáveis?</t>
  </si>
  <si>
    <t xml:space="preserve">QPE-192</t>
  </si>
  <si>
    <t xml:space="preserve">PB-063</t>
  </si>
  <si>
    <t xml:space="preserve">16.2</t>
  </si>
  <si>
    <t xml:space="preserve">As medidas disciplinares estão correlacionadas ao tipo de infração?</t>
  </si>
  <si>
    <t xml:space="preserve">QPE-193</t>
  </si>
  <si>
    <t xml:space="preserve">PB-064</t>
  </si>
  <si>
    <t xml:space="preserve">17.1</t>
  </si>
  <si>
    <t xml:space="preserve">Área IX</t>
  </si>
  <si>
    <t xml:space="preserve">Realiza monitoramento contínuo da aplicação de suas medidas de integridade?</t>
  </si>
  <si>
    <t xml:space="preserve">QPE-201</t>
  </si>
  <si>
    <t xml:space="preserve">PB-065</t>
  </si>
  <si>
    <t xml:space="preserve">17.2.1</t>
  </si>
  <si>
    <t xml:space="preserve">O monitoramento é realizado de forma planejada?</t>
  </si>
  <si>
    <t xml:space="preserve">QPE-199</t>
  </si>
  <si>
    <t xml:space="preserve">PB-066</t>
  </si>
  <si>
    <t xml:space="preserve">17.2.2</t>
  </si>
  <si>
    <t xml:space="preserve">Com identificação clara dos responsáveis?</t>
  </si>
  <si>
    <t xml:space="preserve">QPE-198</t>
  </si>
  <si>
    <t xml:space="preserve">PB-067</t>
  </si>
  <si>
    <t xml:space="preserve">17.2.3</t>
  </si>
  <si>
    <t xml:space="preserve">Com devido registro das informações obtidas?</t>
  </si>
  <si>
    <t xml:space="preserve">QPE-204; QPE-205</t>
  </si>
  <si>
    <t xml:space="preserve">PB-068</t>
  </si>
  <si>
    <t xml:space="preserve">17.2.4</t>
  </si>
  <si>
    <t xml:space="preserve">Com utilização de indicadores e estabelecimento de metas de desempenho?</t>
  </si>
  <si>
    <t xml:space="preserve">QPE-201; QPE-202</t>
  </si>
  <si>
    <t xml:space="preserve">PB-069</t>
  </si>
  <si>
    <t xml:space="preserve">Área X</t>
  </si>
  <si>
    <t xml:space="preserve">Observa legislação ambiental e mantém licenças ambientais em dia?</t>
  </si>
  <si>
    <t xml:space="preserve">ITP-010</t>
  </si>
  <si>
    <t xml:space="preserve">PB-070</t>
  </si>
  <si>
    <t xml:space="preserve">18.2</t>
  </si>
  <si>
    <t xml:space="preserve">Participa de ações coletivas relacionadas a integridade empresarial?</t>
  </si>
  <si>
    <t xml:space="preserve">QPE-222</t>
  </si>
  <si>
    <t xml:space="preserve">PB-071</t>
  </si>
  <si>
    <t xml:space="preserve">18.3</t>
  </si>
  <si>
    <t xml:space="preserve">Incentiva parceiros de negócios a adotarem medidas de integridade?</t>
  </si>
  <si>
    <t xml:space="preserve">QPE-072; QPE-112; QPE-147; QPE-152</t>
  </si>
  <si>
    <t xml:space="preserve">PB-072</t>
  </si>
  <si>
    <t xml:space="preserve">Há manifestação clara do compromisso com ética na página institucional?</t>
  </si>
  <si>
    <t xml:space="preserve">ITP-009</t>
  </si>
  <si>
    <t xml:space="preserve">PB-073</t>
  </si>
  <si>
    <t xml:space="preserve">19.2.1</t>
  </si>
  <si>
    <t xml:space="preserve">Disponibiliza informações sobre principais atividades exercidas?</t>
  </si>
  <si>
    <t xml:space="preserve">QPE-207</t>
  </si>
  <si>
    <t xml:space="preserve">PB-074</t>
  </si>
  <si>
    <t xml:space="preserve">19.2.2</t>
  </si>
  <si>
    <t xml:space="preserve">Divulga identificação e função de principais executivos?</t>
  </si>
  <si>
    <t xml:space="preserve">QPE-208; QPE-209</t>
  </si>
  <si>
    <t xml:space="preserve">PB-075</t>
  </si>
  <si>
    <t xml:space="preserve">19.2.3</t>
  </si>
  <si>
    <t xml:space="preserve">Divulga participação em licitações públicas?</t>
  </si>
  <si>
    <t xml:space="preserve">QPE-211</t>
  </si>
  <si>
    <t xml:space="preserve">PB-076</t>
  </si>
  <si>
    <t xml:space="preserve">19.2.4</t>
  </si>
  <si>
    <t xml:space="preserve">Divulga celebração de contratos administrativos?</t>
  </si>
  <si>
    <t xml:space="preserve">QPE-212</t>
  </si>
  <si>
    <t xml:space="preserve">PB-077</t>
  </si>
  <si>
    <t xml:space="preserve">19.2.5</t>
  </si>
  <si>
    <t xml:space="preserve">Divulga realização de doações?</t>
  </si>
  <si>
    <t xml:space="preserve">QPE-214</t>
  </si>
  <si>
    <t xml:space="preserve">PB-078</t>
  </si>
  <si>
    <t xml:space="preserve">19.2.6</t>
  </si>
  <si>
    <t xml:space="preserve">Divulga realização de patrocínios?</t>
  </si>
  <si>
    <t xml:space="preserve">PB-079</t>
  </si>
  <si>
    <t xml:space="preserve">19.2.7</t>
  </si>
  <si>
    <t xml:space="preserve">Divulga principais políticas e informações sobre programa de integridade?</t>
  </si>
  <si>
    <t xml:space="preserve">QPE-216</t>
  </si>
  <si>
    <t xml:space="preserve">PB-080</t>
  </si>
  <si>
    <t xml:space="preserve">19.2.8</t>
  </si>
  <si>
    <t xml:space="preserve">Divulga relatórios com desempenho ambiental, social e de governança?</t>
  </si>
  <si>
    <t xml:space="preserve">QPE-215; QPE-223</t>
  </si>
  <si>
    <t xml:space="preserve">Total / complementos / reaproveitáveis</t>
  </si>
  <si>
    <t xml:space="preserve">Etapa II · Complemento do Pacto — os 69 itens que não vêm das Essenciais</t>
  </si>
  <si>
    <t xml:space="preserve">Fonte: portal (DB.PACTO filtrado pela regra acima). Nº das perguntas QPE vem do formulário.</t>
  </si>
  <si>
    <t xml:space="preserve">Nº no formulário</t>
  </si>
  <si>
    <t xml:space="preserve">3.2.5</t>
  </si>
  <si>
    <t xml:space="preserve">2.5; 3.2.6</t>
  </si>
  <si>
    <t xml:space="preserve">1.1; 1.2</t>
  </si>
  <si>
    <t xml:space="preserve">4.2.1</t>
  </si>
  <si>
    <t xml:space="preserve">6.3.1</t>
  </si>
  <si>
    <t xml:space="preserve">6.3.2; 6.3.3</t>
  </si>
  <si>
    <t xml:space="preserve">6.1; 6.1.1</t>
  </si>
  <si>
    <t xml:space="preserve">6.5</t>
  </si>
  <si>
    <t xml:space="preserve">7.2.1</t>
  </si>
  <si>
    <t xml:space="preserve">7.2.2</t>
  </si>
  <si>
    <t xml:space="preserve">7.2.4</t>
  </si>
  <si>
    <t xml:space="preserve">7.2.10</t>
  </si>
  <si>
    <t xml:space="preserve">7.2.5</t>
  </si>
  <si>
    <t xml:space="preserve">7.2.11</t>
  </si>
  <si>
    <t xml:space="preserve">7.3</t>
  </si>
  <si>
    <t xml:space="preserve">9.1.2</t>
  </si>
  <si>
    <t xml:space="preserve">9.1.3</t>
  </si>
  <si>
    <t xml:space="preserve">9.1.4</t>
  </si>
  <si>
    <t xml:space="preserve">9.1.6</t>
  </si>
  <si>
    <t xml:space="preserve">10.3.1</t>
  </si>
  <si>
    <t xml:space="preserve">9.3</t>
  </si>
  <si>
    <t xml:space="preserve">11.1.4</t>
  </si>
  <si>
    <t xml:space="preserve">11.4.2</t>
  </si>
  <si>
    <t xml:space="preserve">12.3.1; 12.3.2</t>
  </si>
  <si>
    <t xml:space="preserve">12.3.3</t>
  </si>
  <si>
    <t xml:space="preserve">12.3.4</t>
  </si>
  <si>
    <t xml:space="preserve">14.1; 14.2; 14.3</t>
  </si>
  <si>
    <t xml:space="preserve">14.4</t>
  </si>
  <si>
    <t xml:space="preserve">16.1.2</t>
  </si>
  <si>
    <t xml:space="preserve">16.6</t>
  </si>
  <si>
    <t xml:space="preserve">17.1; 17.2</t>
  </si>
  <si>
    <t xml:space="preserve">18.1.1; 18.2</t>
  </si>
  <si>
    <t xml:space="preserve">19.4</t>
  </si>
  <si>
    <t xml:space="preserve">22.2.3</t>
  </si>
  <si>
    <t xml:space="preserve">20.1.1</t>
  </si>
  <si>
    <t xml:space="preserve">20.5</t>
  </si>
  <si>
    <t xml:space="preserve">21.1.3</t>
  </si>
  <si>
    <t xml:space="preserve">21.1.4</t>
  </si>
  <si>
    <t xml:space="preserve">22.2.1</t>
  </si>
  <si>
    <t xml:space="preserve">22.1.2</t>
  </si>
  <si>
    <t xml:space="preserve">22.1.1</t>
  </si>
  <si>
    <t xml:space="preserve">22.2.4; 22.2.5</t>
  </si>
  <si>
    <t xml:space="preserve">22.2.1; 22.2.2</t>
  </si>
  <si>
    <t xml:space="preserve">24.4</t>
  </si>
  <si>
    <t xml:space="preserve">8.4; 11.3.6; 16.1.5; 16.1.10</t>
  </si>
  <si>
    <t xml:space="preserve">23.1.1</t>
  </si>
  <si>
    <t xml:space="preserve">23.1.2; 23.1.3</t>
  </si>
  <si>
    <t xml:space="preserve">23.1.5</t>
  </si>
  <si>
    <t xml:space="preserve">23.1.6</t>
  </si>
  <si>
    <t xml:space="preserve">23.1.8</t>
  </si>
  <si>
    <t xml:space="preserve">23.1.10</t>
  </si>
  <si>
    <t xml:space="preserve">23.1.9; 24.5</t>
  </si>
  <si>
    <t xml:space="preserve">Total de complementos</t>
  </si>
  <si>
    <t xml:space="preserve">Etapa II · Perguntas QPE correlatas ao Pacto Brasil (76)</t>
  </si>
  <si>
    <t xml:space="preserve">Fonte: portal (DB.Q trilha Pacto Brasil). Com as 10 Essenciais e as 137 do Pró-Ética completam as 223 QPE.</t>
  </si>
  <si>
    <t xml:space="preserve">Pacto Brasil</t>
  </si>
  <si>
    <t xml:space="preserve">A empresa possui políticas e procedimentos de integridade que: tratam da prevenção de conflito de interesses nas relações com a Administração Pública, incluindo contratações de agentes públicos, pessoas expostas politicamente, seus familiares, estreitos colaboradores e pessoas jurídicas de que participem?</t>
  </si>
  <si>
    <t xml:space="preserve">tratam da prevenção de conflitos de interesse nas relações com a Administração Pública, incluindo contratações de agentes públicos, suas famílias, colaboradores e pessoas jurídicas relacionadas;; POL-02 — Conflito de Interesses | POL-05 — Relacionamento com o Setor Público</t>
  </si>
  <si>
    <t xml:space="preserve">AG-FCG-QPE-075</t>
  </si>
  <si>
    <t xml:space="preserve">ISO-16; ISO-23; ISO-31</t>
  </si>
  <si>
    <t xml:space="preserve">VIII</t>
  </si>
  <si>
    <t xml:space="preserve">QPE-001</t>
  </si>
  <si>
    <t xml:space="preserve">A empresa possui critérios de integridade formalizados para seleção dos candidatos aos cargos da alta direção, inclusive para escolha de membros da alta direção de suas controladas/subsidiárias, quando for o caso? Se sim, informar os cargos a que são aplicados, a forma como são considerados no processo de seleção e os responsáveis por sua avaliação.</t>
  </si>
  <si>
    <t xml:space="preserve">Documentos que comprovem que a empresa possui critérios formalizados relacionados à integridade para escolha de membros da alta direção, tais como política de seleção, procedimentos de contratação.</t>
  </si>
  <si>
    <t xml:space="preserve">AG-FCG-QPE-001</t>
  </si>
  <si>
    <t xml:space="preserve">ISO-22; ISO-23</t>
  </si>
  <si>
    <t xml:space="preserve">QPE-002</t>
  </si>
  <si>
    <t xml:space="preserve">A empresa aplica critérios de integridade para seleção dos candidatos aos cargos da alta direção, inclusive para escolha de membros da alta direção de suas controladas/subsidiárias, quando for o caso? Se sim, informar se foram aplicados no processo de seleção dos atuais membros da alta direção e dos membros da alta direção de controladas/subsidiárias da empresa, quando for o caso.</t>
  </si>
  <si>
    <t xml:space="preserve">Documentos que comprovem que a empresa aplica critérios de integridade para escolha de membros da alta direção, tais como: testes de integridade, background check, know your employee – KYE, realização de pesquisas em fontes abertas, e outros critérios análogos que demonstrem avaliação do histórico profissional, casos de envolvimento em práticas de corrupção, fraude e outros ilícitos, bem como outras análises de antecedentes que impactem numa conduta íntegra.</t>
  </si>
  <si>
    <t xml:space="preserve">AG-FCG-QPE-002</t>
  </si>
  <si>
    <t xml:space="preserve">A política de remuneração variável para os membros da alta direção está condicionada ao atingimento de metas de desempenho relacionadas aos indicadores de aplicação do programa de integridade?</t>
  </si>
  <si>
    <t xml:space="preserve">Política, norma ou procedimento formal, aprovado pela direção da empresa, que disponha sobre regras que condicionem a remuneração variável dos membros da alta direção ao atingimento de metas relacionadas aos indicadores de aplicação do programa de integridade.; Documento normativo do tema explicitamente citado na pergunta; não atribuir automaticamente uma das 11 políticas essenciais.</t>
  </si>
  <si>
    <t xml:space="preserve">AG-FCG-QPE-004</t>
  </si>
  <si>
    <t xml:space="preserve">ISO-10; ISO-25</t>
  </si>
  <si>
    <t xml:space="preserve">A aprovação das principais políticas relacionadas ao programa de integridade é feita pelas mais elevadas instâncias decisórias da empresa?</t>
  </si>
  <si>
    <t xml:space="preserve">Documentos que indiquem a forma como a alta direção participou da aprovação das principais políticas relacionadas ao programa de integridade, tais como: − atas de reuniões, e-mails ou outros documentos que comprovem que houve aprovação de criação ou atualização de estruturas, políticas ou procedimentos do programa de integridade pelos membros da alta direção; e registros incluídos na própria política.</t>
  </si>
  <si>
    <t xml:space="preserve">AG-FCG-QPE-005</t>
  </si>
  <si>
    <t xml:space="preserve">ISO-08; ISO-12; ISO-48</t>
  </si>
  <si>
    <t xml:space="preserve">QPE-013</t>
  </si>
  <si>
    <t xml:space="preserve">2.5</t>
  </si>
  <si>
    <t xml:space="preserve">A alta direção da empresa incentiva o debate, a aprovação e a aplicação efetiva de normas, políticas e procedimentos relacionados com a preservação do meio ambiente, a redução ou eliminação da sua parcela de contribuição aos efeitos das mudanças climáticas e o combate à corrupção ambiental?</t>
  </si>
  <si>
    <t xml:space="preserve">Atas de reunião, comunicações internas, manifestações pessoais ou outros documentos que comprovem o incentivo da alta direção ao debate, aprovação e a aplicação efetiva de normas, políticas e procedimentos relacionados aos temas mencionados.</t>
  </si>
  <si>
    <t xml:space="preserve">AG-FCG-QPE-013</t>
  </si>
  <si>
    <t xml:space="preserve">ISO-09</t>
  </si>
  <si>
    <t xml:space="preserve">Os membros da alta direção, de forma pessoalizada, manifestam publicamente apoio ao programa de integridade?</t>
  </si>
  <si>
    <t xml:space="preserve">Mensagens ostensivas e identificáveis dos membros da alta direção aos funcionários da empresa, à sociedade, ao mercado, aos fornecedores e demais stakeholders, promovendo o comportamento ético e demonstrando o compromisso da empresa com a prevenção e o combate à corrupção (p.ex.: e-mails, redes sociais, intranet, vídeos institucionais e comunicados internos e externos), nos quais constem de forma visível e inequívoca, apoio ao programa de integridade e à importância da defesa da ética e integridade nas relações negociais, principalmente nas relações com o setor público.</t>
  </si>
  <si>
    <t xml:space="preserve">AG-FCG-QPE-014</t>
  </si>
  <si>
    <t xml:space="preserve">ISO-09; ISO-10</t>
  </si>
  <si>
    <t xml:space="preserve">As manifestações de apoio ao programa de integridade: expressam uma mensagem de incentivo à adoção de uma conduta ética, seguindo os ditames do programa de integridade? (questão direcionada ao avaliador)</t>
  </si>
  <si>
    <t xml:space="preserve">Evidências de mensagens claras da alta direção aos colaboradores, sociedade, mercado e stakeholders, reforçando o compromisso da empresa no combate ao preconceito, à discriminação e ao assédio em qualquer forma.</t>
  </si>
  <si>
    <t xml:space="preserve">AG-FCG-QPE-019</t>
  </si>
  <si>
    <t xml:space="preserve">Avaliador</t>
  </si>
  <si>
    <t xml:space="preserve">QPE-020</t>
  </si>
  <si>
    <t xml:space="preserve">3.2.6</t>
  </si>
  <si>
    <t xml:space="preserve">As manifestações de apoio ao programa de integridade: expressam o compromisso da alta direção com o combate ao preconceito, à discriminação e ao assédio de qualquer natureza?</t>
  </si>
  <si>
    <t xml:space="preserve">AG-FCG-QPE-020</t>
  </si>
  <si>
    <t xml:space="preserve">A instância interna responsável pelo programa de integridade: *está formalmente constituída, tendo suas atribuições expressamente previstas em documento aprovado pela alta direção da empresa? (*Medida mínima prevista no art. 14 do Regulamento, de caráter obrigatório)</t>
  </si>
  <si>
    <t xml:space="preserve">Regimento, estatuto, manuais, políticas, procedimentos ou outros documentos que estabeleçam a forma de organização do setor, incluindo a indicação da quantidade de funcionários dedicados exclusivamente ao programa de integridade e a respectiva qualificação; Descritivo dos principais cargos da área de integridade, incluindo-se o do chefe da área; Ata de reunião de assembleia geral de acionistas ou deliberação constante de ata de reunião de conselho de administração ou diretoria em que haja deliberação sobre a criação, as atribuições e o funcionamento do setor; “4.2”. Atentar que a data de criação da área ou designação do responsável deve ser até 30/04/2024. Obs.: A data de aprovação deve estar indicada no próprio documento ou, quando inexistente, deve ser enviado cópia do ato de sua aprovação em que conste a referida data.</t>
  </si>
  <si>
    <t xml:space="preserve">AG-FCG-QPE-025</t>
  </si>
  <si>
    <t xml:space="preserve">ISO-13; ISO-14</t>
  </si>
  <si>
    <t xml:space="preserve">QPE-037</t>
  </si>
  <si>
    <t xml:space="preserve">Existe na empresa política ou planejamento que trate da gestão de riscos e que defina a metodologia para a realização da análise de riscos?</t>
  </si>
  <si>
    <t xml:space="preserve">Documento normativo do tema explicitamente citado na pergunta; não atribuir automaticamente uma das 11 políticas essenciais.</t>
  </si>
  <si>
    <t xml:space="preserve">AG-FCG-QPE-037</t>
  </si>
  <si>
    <t xml:space="preserve">QPE-038</t>
  </si>
  <si>
    <t xml:space="preserve">6.1.1</t>
  </si>
  <si>
    <t xml:space="preserve">A política ou planejamento que trata da gestão de riscos institui a periodicidade mínima para atualização/revisão do processo de análise de riscos?</t>
  </si>
  <si>
    <t xml:space="preserve">periodicidade mínima para atualização/revisão do processo de gestão de riscos;; Documento normativo do tema explicitamente citado na pergunta; não atribuir automaticamente uma das 11 políticas essenciais.</t>
  </si>
  <si>
    <t xml:space="preserve">AG-FCG-QPE-038</t>
  </si>
  <si>
    <t xml:space="preserve">A análise de riscos para a integridade realizada contempla: a classificação dos riscos com base em sua probabilidade e impacto?</t>
  </si>
  <si>
    <t xml:space="preserve">Política ou planejamento da empresa, aprovado(s) pela alta direção, que trate da gestão de riscos e que defina a metodologia de análise de riscos, contendo: a descrição dos riscos de integridade, avaliando sua probabilidade e impacto;</t>
  </si>
  <si>
    <t xml:space="preserve">AG-FCG-QPE-042</t>
  </si>
  <si>
    <t xml:space="preserve">QPE-043</t>
  </si>
  <si>
    <t xml:space="preserve">6.3.2</t>
  </si>
  <si>
    <t xml:space="preserve">A análise de riscos para a integridade realizada contempla: O tratamento indicado para cada um dos riscos identificados?</t>
  </si>
  <si>
    <t xml:space="preserve">Política ou planejamento da empresa, aprovado(s) pela alta direção, que trate da gestão de riscos e que defina a metodologia de análise de riscos, contendo: a identificação, classificação e indicando o tratamento para cada risco de integridade;</t>
  </si>
  <si>
    <t xml:space="preserve">AG-FCG-QPE-043</t>
  </si>
  <si>
    <t xml:space="preserve">ISO-07; ISO-17</t>
  </si>
  <si>
    <t xml:space="preserve">QPE-044</t>
  </si>
  <si>
    <t xml:space="preserve">6.3.3</t>
  </si>
  <si>
    <t xml:space="preserve">A análise de riscos para a integridade realizada contempla: Os responsáveis pelo tratamento dos riscos identificados?</t>
  </si>
  <si>
    <t xml:space="preserve">Política ou planejamento da empresa, aprovado(s) pela alta direção, que trate da gestão de riscos e que defina a metodologia de análise de riscos, contendo: a identificação dos responsáveis pelo tratamento dos riscos apontados;</t>
  </si>
  <si>
    <t xml:space="preserve">AG-FCG-QPE-044</t>
  </si>
  <si>
    <t xml:space="preserve">ISO-07; ISO-13; ISO-17</t>
  </si>
  <si>
    <t xml:space="preserve">No período avaliado, a empresa identificou e tratou riscos ambientais e climáticos, sejam relacionados a eventos externos que afetam as atividades da empresa, sejam relacionados às atividades da empresa que afetam terceiros?</t>
  </si>
  <si>
    <t xml:space="preserve">Exemplos de processos reais como matriz de risco, relatórios e plano de gestão, que identificam e tratam riscos ambientais e climáticos, tanto relacionados a eventos externos que impactam as atividades da empresa quanto aos riscos decorrentes das atividades da empresa que afetam terceiros.</t>
  </si>
  <si>
    <t xml:space="preserve">AG-FCG-QPE-050</t>
  </si>
  <si>
    <t xml:space="preserve">O Código de Ética e Conduta, ou documento equivalente, apresentado: foi formalmente aprovado pela alta direção da empresa? Se sim, descrever o processo de aprovação da versão atual do Código de Ética e Conduta da empresa.</t>
  </si>
  <si>
    <t xml:space="preserve">Documento que comprove a sua aprovação pela alta direção (ata de reunião ou mensagem constante no próprio Código).; POL-01 — Código de Ética</t>
  </si>
  <si>
    <t xml:space="preserve">AG-FCG-QPE-052</t>
  </si>
  <si>
    <t xml:space="preserve">O Código de Ética e Conduta, ou documento equivalente, apresentado: inclui expressamente a ética e/ou a integridade entre os princípios ou valores da empresa?</t>
  </si>
  <si>
    <t xml:space="preserve">Indicar a seção e a página do Código de Ética e Conduta ou documento equivalente onde a ética e/ou integridade são mencionadas expressamente como princípios ou valores da empresa.; POL-01 — Código de Ética</t>
  </si>
  <si>
    <t xml:space="preserve">AG-FCG-QPE-053</t>
  </si>
  <si>
    <t xml:space="preserve">O Código de Ética e Conduta, ou documento equivalente, apresentado: Indicar a seção e a página do Código de Ética e Conduta ou documento equivalente onde consta vedações expressas à prática de atos de corrupção</t>
  </si>
  <si>
    <t xml:space="preserve">está alinhado com a legislação anticorrupção brasileira, contendo vedações expressas à prática de atos de corrupção e fraude e a prevenção de conflitos de interesses?; POL-01 — Código de Ética</t>
  </si>
  <si>
    <t xml:space="preserve">AG-FCG-QPE-055</t>
  </si>
  <si>
    <t xml:space="preserve">O Código de Ética e Conduta, ou documento equivalente, apresentado: Estabelece as condutas permitidas e proibidas dentro da empresa?</t>
  </si>
  <si>
    <t xml:space="preserve">Indicar a seção e a página do Código de Ética e Conduta ou documento equivalente onde se estabelece as condutas permitidas e proibidas dentro da empresa.; POL-01 — Código de Ética</t>
  </si>
  <si>
    <t xml:space="preserve">AG-FCG-QPE-056</t>
  </si>
  <si>
    <t xml:space="preserve">ISO-15</t>
  </si>
  <si>
    <t xml:space="preserve">O Código de Ética e Conduta, ou documento equivalente, apresentado: expressa o compromisso da empresa com o cumprimento da legislação ambiental, com o seu papel diante dos efeitos das mudanças climáticas e com o desenvolvimento sustentável?</t>
  </si>
  <si>
    <t xml:space="preserve">seção e a página do Código de Ética e Conduta ou documento equivalente onde a empresa assume seu compromisso com a legislação ambiental, as mudanças climáticas e o desenvolvimento sustentável.; POL-01 — Código de Ética</t>
  </si>
  <si>
    <t xml:space="preserve">AG-FCG-QPE-061</t>
  </si>
  <si>
    <t xml:space="preserve">O Código de Ética e Conduta, ou documento equivalente, apresentado: menciona a possibilidade de aplicação de sanções para aqueles que cometerem violações éticas/legais, inclusive para os membros da alta direção da empresa?</t>
  </si>
  <si>
    <t xml:space="preserve">seção e a página do Código de Ética e Conduta ou documento equivalente que tratam das sanções aplicáveis a violações éticas ou legais, incluindo penalidades para membros da alta direção.; POL-01 — Código de Ética</t>
  </si>
  <si>
    <t xml:space="preserve">AG-FCG-QPE-062</t>
  </si>
  <si>
    <t xml:space="preserve">ISO-12; ISO-24</t>
  </si>
  <si>
    <t xml:space="preserve">II; XI</t>
  </si>
  <si>
    <t xml:space="preserve">O Código de Ética e Conduta, ou documento equivalente, encontra-se disponível na página eletrônica da empresa?</t>
  </si>
  <si>
    <t xml:space="preserve">Informar tanto o link de acesso quanto o caminho da página inicial do site da empresa até o Código de Ética e Conduta ou documento equivalente.; POL-01 — Código de Ética</t>
  </si>
  <si>
    <t xml:space="preserve">AG-FCG-QPE-066</t>
  </si>
  <si>
    <t xml:space="preserve">QPE-072</t>
  </si>
  <si>
    <t xml:space="preserve">8.4</t>
  </si>
  <si>
    <t xml:space="preserve">A empresa solicita aos terceiros que declarem expressamente que estão cientes da existência e do conteúdo desse documento, e que se comprometem a observar os termos e condições nele previstos? Se sim, informar como e em que momento isso ocorre.</t>
  </si>
  <si>
    <t xml:space="preserve">Evidências como termos de ciência, contratos ou declarações assinadas por terceiros confirmando a ciência e o compromisso com o Código de Ética e Conduta ou documento equivalente, incluindo atualizações. Contratos firmados com terceiros/fornecedores que contenham cláusulas de ciência e concordância e de compromisso com o cumprimento do Código de Ética e Conduta aplicável a terceiros.; POL-01 — Código de Ética | POL-06 — Due Diligence de Terceiros</t>
  </si>
  <si>
    <t xml:space="preserve">AG-FCG-QPE-072</t>
  </si>
  <si>
    <t xml:space="preserve">ISO-35; ISO-36</t>
  </si>
  <si>
    <t xml:space="preserve">III</t>
  </si>
  <si>
    <t xml:space="preserve">A empresa possui políticas e procedimentos de integridade que: tratam do oferecimento de presentes, brindes e hospitalidades (refeições, entretenimento, viagem e hospedagem) a agentes públicos?</t>
  </si>
  <si>
    <t xml:space="preserve">Políticas, regras, orientações e/ou procedimentos (indicar a seção e a página) que: regulam o oferecimento de presentes, brindes e hospitalidades (como refeições, entretenimento, viagens e hospedagem) a agentes públicos;; POL-03 — Brindes, Presentes e Hospitalidade | POL-05 — Relacionamento com o Setor Público</t>
  </si>
  <si>
    <t xml:space="preserve">AG-FCG-QPE-074</t>
  </si>
  <si>
    <t xml:space="preserve">ISO-31; ISO-37</t>
  </si>
  <si>
    <t xml:space="preserve">A empresa possui políticas e procedimentos de integridade que: estabelecem orientações e controles sobre temas como realização de reuniões, encontros e outros tipos de interações entre administradores e empregados da empresa com agentes públicos?</t>
  </si>
  <si>
    <t xml:space="preserve">definem diretrizes e controles sobre reuniões, encontros e outras interações entre administradores ou empregados da empresa e agentes públicos;; POL-05 — Relacionamento com o Setor Público</t>
  </si>
  <si>
    <t xml:space="preserve">AG-FCG-QPE-076</t>
  </si>
  <si>
    <t xml:space="preserve">A empresa possui políticas e procedimentos de integridade que: tratam da realização de doação e patrocínio, ou informam claramente que a empresa não realiza essas atividades?</t>
  </si>
  <si>
    <t xml:space="preserve">abordam a realização de doações e patrocínios ou que deixam claro que a empresa não realiza essas atividades;; POL-04 — Doações, Patrocínios e Contribuições</t>
  </si>
  <si>
    <t xml:space="preserve">AG-FCG-QPE-078</t>
  </si>
  <si>
    <t xml:space="preserve">XIII</t>
  </si>
  <si>
    <t xml:space="preserve">A empresa aplicou, no período avaliado, as políticas e procedimentos de integridade apresentados?</t>
  </si>
  <si>
    <t xml:space="preserve">Relatórios, atas de reuniões, e-mails, due diligence, medidas disciplinares aplicadas a empregados, contratos rescindidos e/ou multas aplicadas a terceiros, monitoramento dos canais de denúncias etc.; POL-06 — Due Diligence de Terceiros | POL-10 — Investigações e Medidas Disciplinares</t>
  </si>
  <si>
    <t xml:space="preserve">AG-FCG-QPE-083</t>
  </si>
  <si>
    <t xml:space="preserve">ISO-05; ISO-30; ISO-31</t>
  </si>
  <si>
    <t xml:space="preserve">Em relação à gestão e à execução do contrato administrativo, a empresa, na condição de contratada, possui políticas e procedimentos que: estabelecem orientações sobre a conduta esperada (o que é permitido/proibido) para os seus empregados?</t>
  </si>
  <si>
    <t xml:space="preserve">Evidência que indique a seção e a página das políticas, regras, orientações ou procedimentos que: estabelecem diretrizes claras sobre a conduta esperada dos empregados, especificando ações permitidas e proibidas;</t>
  </si>
  <si>
    <t xml:space="preserve">AG-FCG-QPE-093</t>
  </si>
  <si>
    <t xml:space="preserve">ISO-34</t>
  </si>
  <si>
    <t xml:space="preserve">A empresa possui um planejamento para realização de treinamentos relacionados ao programa de integridade contendo: a definição dos públicos-alvo dos treinamentos?</t>
  </si>
  <si>
    <t xml:space="preserve">Documento formal em que conste o planejamento das atividades de treinamentos relacionadas à integridade para determinado período (anual, geralmente). O documento deve elencar: os públicos-alvo definidos para os treinamentos;</t>
  </si>
  <si>
    <t xml:space="preserve">AG-FCG-QPE-103</t>
  </si>
  <si>
    <t xml:space="preserve">ISO-26</t>
  </si>
  <si>
    <t xml:space="preserve">QPE-112</t>
  </si>
  <si>
    <t xml:space="preserve">11.3.6</t>
  </si>
  <si>
    <t xml:space="preserve">No período avaliado, a empresa realizou treinamentos: direcionados aos principais parceiros de negócio, de acordo com a avaliação de riscos, incluindo agentes intermediários, quando for o caso?</t>
  </si>
  <si>
    <t xml:space="preserve">Listas de presenças acompanhadas de materiais de estudo, links de acesso a treinamentos online ou registros de frequência e participação que demonstrem: o treinamento específico para parceiros de negócio (identificando- os claramente), alinhados à avaliação de riscos, incluindo agentes intermediários quando pertinente.</t>
  </si>
  <si>
    <t xml:space="preserve">AG-FCG-QPE-112</t>
  </si>
  <si>
    <t xml:space="preserve">ISO-26; ISO-35</t>
  </si>
  <si>
    <t xml:space="preserve">IV; III</t>
  </si>
  <si>
    <t xml:space="preserve">Os treinamentos realizados no período avaliado: atingiram, pelo menos, 70% de cada um dos públicos-alvo? Relatórios ou históricos dos treinamentos contendo dados estatísticos ou percentuais de participação, acompanhados de listas de presença para comprovação</t>
  </si>
  <si>
    <t xml:space="preserve">Relatórios ou históricos dos treinamentos contendo dados estatísticos ou percentuais de participação, acompanhados de listas de presença para comprovação.</t>
  </si>
  <si>
    <t xml:space="preserve">AG-FCG-QPE-114</t>
  </si>
  <si>
    <t xml:space="preserve">QPE-122</t>
  </si>
  <si>
    <t xml:space="preserve">12.3.1</t>
  </si>
  <si>
    <t xml:space="preserve">As ações de comunicação realizadas pela empresa no período avaliado: buscaram promover a divulgação do Código de Ética e das principais políticas de integridade?</t>
  </si>
  <si>
    <t xml:space="preserve">Comunicações internas veiculando o conteúdo dos documentos relacionados ao programa de integridade, assegurando a identificação dos destinatários, tais como: e-mails, vídeos, cartazes, folders, links do site ou printscreen de página da intranet onde os documentos relacionados ao programa de integridade podem ser acessados, que: tenham como teor a divulgação do Código de Ética e principais políticas de integridade;; POL-01 — Código de Ética</t>
  </si>
  <si>
    <t xml:space="preserve">AG-FCG-QPE-122</t>
  </si>
  <si>
    <t xml:space="preserve">ISO-27; ISO-28</t>
  </si>
  <si>
    <t xml:space="preserve">QPE-123</t>
  </si>
  <si>
    <t xml:space="preserve">12.3.2</t>
  </si>
  <si>
    <t xml:space="preserve">As ações de comunicação realizadas pela empresa no período avaliado: buscaram promover a divulgação dos canais de denúncias?</t>
  </si>
  <si>
    <t xml:space="preserve">Comunicações internas veiculando o conteúdo dos documentos relacionados ao programa de integridade, assegurando a identificação dos destinatários, tais como: e-mails, vídeos, cartazes, folders, links do site ou printscreen de página da intranet onde os documentos relacionados ao programa de integridade podem ser acessados, que: tenham como teor à divulgação dos canais de denúncia;</t>
  </si>
  <si>
    <t xml:space="preserve">AG-FCG-QPE-123</t>
  </si>
  <si>
    <t xml:space="preserve">ISO-27; ISO-28; ISO-39</t>
  </si>
  <si>
    <t xml:space="preserve">As ações de comunicação realizadas pela empresa no período avaliado: buscaram promover o combate ao preconceito, à discriminação e ao assédio de qualquer natureza?</t>
  </si>
  <si>
    <t xml:space="preserve">Comunicações internas veiculando o conteúdo dos documentos relacionados ao programa de integridade, assegurando a identificação dos destinatários, tais como: e-mails, vídeos, cartazes, folders, links do site ou printscreen de página da intranet onde os documentos relacionados ao programa de integridade podem ser acessados, que: promovam o combate ao preconceito, à discriminação e ao assédio de qualquer natureza;</t>
  </si>
  <si>
    <t xml:space="preserve">AG-FCG-QPE-124</t>
  </si>
  <si>
    <t xml:space="preserve">As ações de comunicação realizadas pela empresa no período avaliado: buscaram divulgar práticas de sustentabilidade socioambiental da empresa e promover a conscientização ambiental para os públicos interno e externo?</t>
  </si>
  <si>
    <t xml:space="preserve">Comunicações internas veiculando o conteúdo dos documentos relacionados ao programa de integridade, assegurando a identificação dos destinatários, tais como: e-mails, vídeos, cartazes, folders, links do site ou printscreen de página da intranet onde os documentos relacionados ao programa de integridade podem ser acessados, que: promovam práticas de sustentabilidade socioambiental e conscientização ambiental, para os públicos interno e externo.</t>
  </si>
  <si>
    <t xml:space="preserve">AG-FCG-QPE-125</t>
  </si>
  <si>
    <t xml:space="preserve">QPE-132</t>
  </si>
  <si>
    <t xml:space="preserve">Controles Contábeis, Financeiros e Auditoria</t>
  </si>
  <si>
    <t xml:space="preserve">A empresa possui fluxos de trabalho para elaboração dos lançamentos financeiros?</t>
  </si>
  <si>
    <t xml:space="preserve">Fluxogramas, dashboards, printscreen de telas de sistemas, relatórios de auditorias e comunicações internas etc., que comprovem a existência de rotinas e atividades necessárias tanto para os registros feitos pela área financeira quanto para os registros feitos pela área contábil. Políticas, normas, procedimentos e medidas de controle interno contábil e financeiro adotadas pela empresa.; POL-08 — Registros Contábeis</t>
  </si>
  <si>
    <t xml:space="preserve">AG-FCG-QPE-132</t>
  </si>
  <si>
    <t xml:space="preserve">ISO-33</t>
  </si>
  <si>
    <t xml:space="preserve">VI; VII</t>
  </si>
  <si>
    <t xml:space="preserve">QPE-133</t>
  </si>
  <si>
    <t xml:space="preserve">14.2</t>
  </si>
  <si>
    <t xml:space="preserve">A empresa possui fluxos de trabalho para elaboração dos lançamentos contábeis?</t>
  </si>
  <si>
    <t xml:space="preserve">AG-FCG-QPE-133</t>
  </si>
  <si>
    <t xml:space="preserve">QPE-134</t>
  </si>
  <si>
    <t xml:space="preserve">A empresa possui regras que estabelecem a segregação de funções e a definição de níveis de aprovação (alçadas) de receitas e despesas?</t>
  </si>
  <si>
    <t xml:space="preserve">Normas internas que estabeleçam separação de competências e a necessidade de aprovações/autorizações por diferentes níveis hierárquicos para realização de pagamentos e recebimentos, aprovação de relatórios e outras atividades. Prints de sistemas em que constem perfis segregados de acordo com as funções.</t>
  </si>
  <si>
    <t xml:space="preserve">AG-FCG-QPE-134</t>
  </si>
  <si>
    <t xml:space="preserve">ISO-16; ISO-33</t>
  </si>
  <si>
    <t xml:space="preserve">A empresa possui mecanismos para detectar receitas e despesas fora do padrão e/ou "red flags" durante a realização de lançamentos contábeis?</t>
  </si>
  <si>
    <t xml:space="preserve">Normas ou documentos formais que estabeleçam mecanismos e controles para registros contábeis que possam identificar, ainda durante o fechamento da contabilidade, “red flags” envolvendo transações suspeitas. Exemplos de “red flags” podem incluir: receitas e despesas com valores mais elevados que o habitual ou de natureza estranha ao objeto social da empresa, sem justificativa; operações sem documentação comprobatória ou envolvendo pessoas suspeitas; transferências sem identificação etc. Sistema de alerta precoce (“early warning”), para verificar se nas demonstrações financeiras existe a probabilidade de fraude.</t>
  </si>
  <si>
    <t xml:space="preserve">AG-FCG-QPE-135</t>
  </si>
  <si>
    <t xml:space="preserve">A empresa possui uma área de auditoria interna formalmente instituída ou contrato vigente com auditoria interna terceirizada?</t>
  </si>
  <si>
    <t xml:space="preserve">Documento (regimento interno, estatuto social, organograma) formalmente aprovado que estabeleça a instituição de uma área de auditoria interna. Contratos vigentes com empresas terceirizadas de auditoria interna.</t>
  </si>
  <si>
    <t xml:space="preserve">AG-FCG-QPE-137</t>
  </si>
  <si>
    <t xml:space="preserve">ISO-46</t>
  </si>
  <si>
    <t xml:space="preserve">VII</t>
  </si>
  <si>
    <t xml:space="preserve">Diligência de Terceiros e M&amp;A</t>
  </si>
  <si>
    <t xml:space="preserve">Em relação à realização de diligências para contratação e supervisão de terceiros, a empresa possui políticas e procedimentos que: determinam a verificação de possível envolvimento do terceiro em casos de violação a direitos humanos e em práticas de atos de preconceito e discriminação?</t>
  </si>
  <si>
    <t xml:space="preserve">Políticas, regras e procedimentos que tenham como objetivo identificar histórico de envolvimento, tanto por parte de empresa terceira quanto de seus sócios, em atos de corrupção ou fraude, em casos de violação a direitos humanos ou práticas de atos de preconceito e discriminação, em crimes ambientais ou práticas nocivas ao meio ambiente; detalhando quais os bancos de dados, formulários, serviços terceirizados, ou outros instrumentos que são utilizados na verificação; Política ou procedimento comprovado que preveja: − a verificação (due diligence, background check ou outro análogo) de pessoas expostas politicamente (ocupantes de cargos, empregos ou funções públicas relevantes definidas pelos órgãos reguladores e fiscalizadores); − a verificação da existência de programas de integridade nos terceiros avaliados (ex.: declarações, formulário/análise para constatar a existência/maturidade do programa de integridade do fornecedor com base em riscos para integridade); − mapa de risco que prevê a classificação dos contratos e/ou contratados com base no nível de risco à integridade; grau de risco de integridade (GRI); − análise preventiva (avaliação de histórico, de perfil, mídia negativa, cadastros de restrições, processos judiciais e administrativos) a potenciais riscos de corrupção, fraudes, integridade e irregularidades, com foco em possíveis parcerias; − como o resultado de uma diligência impacta na contratação de terceiros; − as condições para mitigação de risco na contratação de empresas que apresentem histórico de envolvimento em atos de fraude e corrupção; − beneficiamento na contratação de empresas que apresentem baixo risco de integridade; − a forma e a periodicidade de supervisão de terceiros após a contratação, sobretudo daqueles considerados de alto risco; − obrigatoriedade de realização de consultas a bancos de dados governamentais, como o CEIS, o CNEP e o CEPIM.; POL-06 — Due Diligence de Terceiros</t>
  </si>
  <si>
    <t xml:space="preserve">AG-FCG-QPE-144</t>
  </si>
  <si>
    <t xml:space="preserve">ISO-32</t>
  </si>
  <si>
    <t xml:space="preserve">QPE-147</t>
  </si>
  <si>
    <t xml:space="preserve">16.1.5</t>
  </si>
  <si>
    <t xml:space="preserve">Em relação à realização de diligências para contratação e supervisão de terceiros, a empresa possui políticas e procedimentos que: determinam a verificação da existência de programas de integridade implementados nos terceiros avaliados, para mitigar os riscos de corrupção e fraude contra a Administração Pública?</t>
  </si>
  <si>
    <t xml:space="preserve">AG-FCG-QPE-147</t>
  </si>
  <si>
    <t xml:space="preserve">ISO-32; ISO-35</t>
  </si>
  <si>
    <t xml:space="preserve">QPE-152</t>
  </si>
  <si>
    <t xml:space="preserve">16.1.10</t>
  </si>
  <si>
    <t xml:space="preserve">Em relação à realização de diligências para contratação e supervisão de terceiros, a empresa possui políticas e procedimentos que: beneficiam a contratação de terceiros que apresentam baixo risco de integridade?</t>
  </si>
  <si>
    <t xml:space="preserve">AG-FCG-QPE-152</t>
  </si>
  <si>
    <t xml:space="preserve">A empresa realizou diligências de integridade em relação aos terceiros com os quais estabeleceu relações negociais no período avaliado?</t>
  </si>
  <si>
    <t xml:space="preserve">Resultados de diligências na qual a empresa demonstre que aplicou seus procedimentos de avaliação de parceiros de negócios, constando o fluxo de deliberação sobre a contratação.</t>
  </si>
  <si>
    <t xml:space="preserve">AG-FCG-QPE-159</t>
  </si>
  <si>
    <t xml:space="preserve">QPE-160</t>
  </si>
  <si>
    <t xml:space="preserve">A empresa possui políticas ou procedimentos que exigem a utilização de cláusula, nos contratos celebrados com terceiros, estabelecendo a obrigatoriedade do cumprimento de normas éticas e a vedação de práticas de fraude e corrupção, conhecida como cláusula anticorrupção?</t>
  </si>
  <si>
    <t xml:space="preserve">Políticas, regras e procedimentos que exijam a utilização de cláusula anticorrupção nos contratos celebrados com terceiros.; POL-06 — Due Diligence de Terceiros</t>
  </si>
  <si>
    <t xml:space="preserve">AG-FCG-QPE-160</t>
  </si>
  <si>
    <t xml:space="preserve">ISO-36</t>
  </si>
  <si>
    <t xml:space="preserve">III; XIII</t>
  </si>
  <si>
    <t xml:space="preserve">QPE-161</t>
  </si>
  <si>
    <t xml:space="preserve">17.2</t>
  </si>
  <si>
    <t xml:space="preserve">A empresa inclui, nos contratos celebrados com terceiros, cláusula estabelecendo a obrigatoriedade do cumprimento de normas éticas e a vedação de práticas de fraude e corrupção, conhecida como cláusula anticorrupção?</t>
  </si>
  <si>
    <t xml:space="preserve">Cópia de contratos ou de trechos que permitam identificar a empresa como parte e que permitam comprovar que o contrato é real. Cláusulas contratuais anticorrupção (exemplos demonstrados em contratos reais) que: − preveem a obrigatoriedade do cumprimento de normas éticas e a vedação de práticas de fraude e corrupção pelos contratantes; − estejam adaptadas à Lei no 12.846/2013 e regulamentação, Código Penal brasileiro, Lei no 14.133/22 e 8.666/93; − preveem a aplicação de penalidades e/ou de rescisão contratual em caso de descumprimento de normas éticas e prática de fraude e corrupção;</t>
  </si>
  <si>
    <t xml:space="preserve">AG-FCG-QPE-161</t>
  </si>
  <si>
    <t xml:space="preserve">A cláusula anticorrupção apresentada – ou outra cláusula contratual – prevê a aplicação de penalidades e/ou de rescisão contratual em caso de descumprimento de normas éticas e prática de fraude e corrupção?</t>
  </si>
  <si>
    <t xml:space="preserve">AG-FCG-QPE-163</t>
  </si>
  <si>
    <t xml:space="preserve">ISO-36; ISO-38</t>
  </si>
  <si>
    <t xml:space="preserve">QPE-164</t>
  </si>
  <si>
    <t xml:space="preserve">18.1.1</t>
  </si>
  <si>
    <t xml:space="preserve">A empresa possui políticas e procedimentos específicos para a realização de fusões, aquisições ou outras operações societárias que: preveem a realização de diligências para verificar o histórico de prática de atos de corrupção e fraude das empresas envolvidas nas operações?</t>
  </si>
  <si>
    <t xml:space="preserve">Políticas, regras e procedimentos para verificação prévia a fusões, aquisições e outras operações societárias, com o objetivo: − de identificar histórico de envolvimento da empresa-alvo com corrupção ou outros tipos de condutas ilegais ou antiéticas; − de identificar histórico de envolvimento por parte de seus sócios com corrupção ou outros tipos de condutas ilegais ou antiéticas; − de indicar medidas a serem adotadas caso as diligências demonstrem histórico de prática de atos de corrupção e fraude pela empresa envolvida na operação ou de seu respectivo sócio; − de incluir a instância interna de integridade no fluxo da tomada de decisão sobre realização ou não da operação;</t>
  </si>
  <si>
    <t xml:space="preserve">AG-FCG-QPE-164</t>
  </si>
  <si>
    <t xml:space="preserve">ISO-32; ISO-34</t>
  </si>
  <si>
    <t xml:space="preserve">XIV</t>
  </si>
  <si>
    <t xml:space="preserve">QPE-168</t>
  </si>
  <si>
    <t xml:space="preserve">A empresa realizou diligências prévias a fusões, aquisições e outras operações societárias entre 2022 e 2025?</t>
  </si>
  <si>
    <t xml:space="preserve">Relatórios ou outros documentos que evidenciem a aplicação do item 18.1 sobre empresas em processo de aquisição, fusão ou outras operações societárias, comunicações internas que abordem o tema; evidências de realização de auditorias específicas para subsidiar as tomadas de decisão envolvendo a operação, pareceres etc.</t>
  </si>
  <si>
    <t xml:space="preserve">AG-FCG-QPE-168</t>
  </si>
  <si>
    <t xml:space="preserve">JANELA:2022-01-01:2025-12-31</t>
  </si>
  <si>
    <t xml:space="preserve">Os canais de denúncias da empresa: podem ser utilizados por seus empregados?</t>
  </si>
  <si>
    <t xml:space="preserve">Prints de tela da intranet/internet, juntamente com o link de acesso ao canal de denúncias, contendo informação expressa: − acerca da possibilidade de utilizar o canal para a realização de denúncias relacionadas a atos de corrupção, fraude e outras irregularidades previstas na Lei n. 12.846/2013, bem como violações de direitos humanos e degradação ambiental decorrente das atividades da empresa; − acerca das garantias de proteção oferecidas aos denunciantes de boa-fé (não retaliação, sigilo do denunciante – excepcionalizando-se legislações estrangeiras que não admitem denúncias anônimas); − acerca da possibilidade de acompanhamento da apuração da denúncia pelo denunciante, inclusive com a disponibilização, no próprio canal, de campo específico para esse fim, tais como protocolo etc.; − item 19.2.1: no caso de colaboradores sem acesso à internet no local de trabalho, enviar vídeos, imagens etc. que comprovem a disponibilização de meios para acesso ao canal de denúncias nos ambientes físicos em que estes colaboradores atuam (ex.: cartazes, folders, quadros informativos etc., contendo número telefônico e outros meios físicos para a realização de denúncias).</t>
  </si>
  <si>
    <t xml:space="preserve">AG-FCG-QPE-170</t>
  </si>
  <si>
    <t xml:space="preserve">Os canais de denúncias da empresa: podem ser utilizados pelo público externo em geral?</t>
  </si>
  <si>
    <t xml:space="preserve">Prints de tela da intranet/internet, juntamente com o link de acesso ao canal de denúncias, contendo informação expressa: − acerca da possibilidade de utilizar o canal para a realização de denúncias relacionadas a atos de corrupção, fraude e outras irregularidades previstas na Lei n. 12.846/2013, bem como violações de direitos humanos e degradação ambiental decorrente das atividades da empresa; − acerca das garantias de proteção oferecidas aos denunciantes de boa-fé (não retaliação, sigilo do denunciante – excepcionalizando-se legislações estrangeiras que não admitem denúncias anônimas); − acerca da possibilidade de acompanhamento da apuração da denúncia pelo denunciante, inclusive com a disponibilização, no próprio canal, de campo específico para esse fim, tais como protocolo etc.;</t>
  </si>
  <si>
    <t xml:space="preserve">AG-FCG-QPE-171</t>
  </si>
  <si>
    <t xml:space="preserve">Os canais de denúncias da empresa: indicam expressamente as garantias de proteção oferecidas aos denunciantes de boa-fé?</t>
  </si>
  <si>
    <t xml:space="preserve">AG-FCG-QPE-175</t>
  </si>
  <si>
    <t xml:space="preserve">ISO-24; ISO-39</t>
  </si>
  <si>
    <t xml:space="preserve">Os canais de denúncias da empresa: permitem o acompanhamento da apuração da denúncia pelo denunciante?</t>
  </si>
  <si>
    <t xml:space="preserve">AG-FCG-QPE-176</t>
  </si>
  <si>
    <t xml:space="preserve">Os canais de denúncia são de fácil acesso para os diversos públicos? (questão direcionada ao avaliador)</t>
  </si>
  <si>
    <t xml:space="preserve">Informação não especificada na fonte; pendente de confirmação por pergunta.</t>
  </si>
  <si>
    <t xml:space="preserve">AG-FCG-QPE-178</t>
  </si>
  <si>
    <t xml:space="preserve">A empresa possui políticas e procedimentos que: estabelecem o fluxo de recebimento, tratamento e apuração das denúncias?</t>
  </si>
  <si>
    <t xml:space="preserve">Normativos que estabeleçam o fluxo de tratamento de denúncias, contendo os responsáveis por cada etapa e prazos de apuração, inclusive com garantias de acesso irrestrito a documentos, sistemas e pessoas;</t>
  </si>
  <si>
    <t xml:space="preserve">AG-FCG-QPE-179</t>
  </si>
  <si>
    <t xml:space="preserve">ISO-40</t>
  </si>
  <si>
    <t xml:space="preserve">A empresa realizou a apuração de denúncias relacionadas com atos de fraude e corrupção entre 2023 e 2025?</t>
  </si>
  <si>
    <t xml:space="preserve">Documentos reais de apuração de denúncias envolvendo os temas dos itens 20.5 a 20.7, recebidas e apuradas entre 2023 e 2025, com os seus respectivos desdobramentos.</t>
  </si>
  <si>
    <t xml:space="preserve">AG-FCG-QPE-187</t>
  </si>
  <si>
    <t xml:space="preserve">JANELA:2023-01-01:2025-12-31</t>
  </si>
  <si>
    <t xml:space="preserve">A empresa possui políticas e procedimentos que: definem as medidas disciplinares aplicáveis?</t>
  </si>
  <si>
    <t xml:space="preserve">Política, norma ou procedimento que: − assegure a pronta interrupção de irregularidades; − vise garantir a aplicação de medidas cautelares de afastamento de membros da alta administração suspeitos de envolvimento em atos de corrupção ou fraude; − indique as medidas disciplinares aplicáveis; − correlacione infrações das normas da empresa às penalidades previstas; − indique os responsáveis pela aplicação das medidas disciplinares − oriente a decisão sobre quando e como deve ser feito o encaminhamento às autoridades competentes de denúncias de irregularidades envolvendo funcionários, dirigentes, intermediários, fornecedores e prestadores de serviço; − oriente sobre quando e como deve ser feito o encaminhamento às autoridades competentes para ações de acolhimento e proteção das vítimas, bem como para a persecução e responsabilização dos envolvidos, nos casos de denúncias procedentes relacionadas a violações de direitos humanos.; POL-06 — Due Diligence de Terceiros | POL-10 — Investigações e Medidas Disciplinares</t>
  </si>
  <si>
    <t xml:space="preserve">AG-FCG-QPE-192</t>
  </si>
  <si>
    <t xml:space="preserve">ISO-24; ISO-40</t>
  </si>
  <si>
    <t xml:space="preserve">XI</t>
  </si>
  <si>
    <t xml:space="preserve">A empresa possui políticas e procedimentos que: correlacionam as medidas disciplinares ao tipo de infração cometida?</t>
  </si>
  <si>
    <t xml:space="preserve">AG-FCG-QPE-193</t>
  </si>
  <si>
    <t xml:space="preserve">Monitoramento do Programa</t>
  </si>
  <si>
    <t xml:space="preserve">A empresa possui políticas e procedimentos que estabelecem: os responsáveis por realizar o monitoramento do programa de integridade?</t>
  </si>
  <si>
    <t xml:space="preserve">Normas internas que definam os mecanismos e procedimentos de monitoramento do programa de integridade e seus responsáveis, que: − definam os responsáveis pelo monitoramento do programa de integridade; − definam a periodicidade de monitoramento do programa de integridade; − definam as instâncias para as quais os dados e informações de monitoramento são submetidos.</t>
  </si>
  <si>
    <t xml:space="preserve">AG-FCG-QPE-198</t>
  </si>
  <si>
    <t xml:space="preserve">ISO-41; ISO-49</t>
  </si>
  <si>
    <t xml:space="preserve">XV</t>
  </si>
  <si>
    <t xml:space="preserve">A empresa possui políticas e procedimentos que estabelecem: a periodicidade para realização do monitoramento?</t>
  </si>
  <si>
    <t xml:space="preserve">AG-FCG-QPE-199</t>
  </si>
  <si>
    <t xml:space="preserve">ISO-41</t>
  </si>
  <si>
    <t xml:space="preserve">*A empresa realiza um monitoramento contínuo do programa de integridade por meio de: utilização de indicadores e estabelecimento de metas de desempenho sobre o programa de integridade, visando avaliar sua efetividade e cumprimento? (*Medida mínima prevista no art. 14 do Regulamento, de caráter obrigatório)</t>
  </si>
  <si>
    <t xml:space="preserve">Documentos contendo os indicadores e metas para o programa de integridade, incluindo ações de responsabilidade socioambiental e de proteção dos direitos humanos;</t>
  </si>
  <si>
    <t xml:space="preserve">AG-FCG-QPE-201</t>
  </si>
  <si>
    <t xml:space="preserve">17.1; 17.2.4</t>
  </si>
  <si>
    <t xml:space="preserve">ISO-18; ISO-41; ISO-43</t>
  </si>
  <si>
    <t xml:space="preserve">QPE-202</t>
  </si>
  <si>
    <t xml:space="preserve">22.2.2</t>
  </si>
  <si>
    <t xml:space="preserve">*A empresa realiza um monitoramento contínuo do programa de integridade por meio de: utilização de indicadores e estabelecimento de metas de desempenho relacionados com a sustentabilidade ambiental e com a proteção dos direitos humanos?</t>
  </si>
  <si>
    <t xml:space="preserve">Documentos, relatórios, dashboards e apresentações contendo registros das metas e do desempenho alcançado em cada período de acordo com os indicadores do programa de integridade incluindo suas ações de responsabilidade socioambiental e de proteção dos direitos humanos.</t>
  </si>
  <si>
    <t xml:space="preserve">AG-FCG-QPE-202</t>
  </si>
  <si>
    <t xml:space="preserve">*A empresa realiza um monitoramento contínuo do programa de integridade por meio de: análise estatística de dados relativos às denúncias recebidas pelos canais de denúncias e ao seu tratamento?</t>
  </si>
  <si>
    <t xml:space="preserve">Documentos, dashboards etc. contendo análise estatística de dados relativos às denúncias recebidas, bem como as medidas adotadas para o seu tratamento.</t>
  </si>
  <si>
    <t xml:space="preserve">AG-FCG-QPE-203</t>
  </si>
  <si>
    <t xml:space="preserve">ISO-41; ISO-42</t>
  </si>
  <si>
    <t xml:space="preserve">QPE-204</t>
  </si>
  <si>
    <t xml:space="preserve">22.2.4</t>
  </si>
  <si>
    <t xml:space="preserve">*A empresa realiza um monitoramento contínuo do programa de integridade por meio de: relatórios periódicos com dados e estatísticas sobre aplicação das principais políticas e procedimentos de integridade? Se sim, esclarecer os tipos de relatórios produzidos, o conteúdo neles abordado e os sistemas/softwares eventualmente utilizados.</t>
  </si>
  <si>
    <t xml:space="preserve">Relatórios ou outros instrumentos que demonstrem que o monitoramento é realizado regularmente; Relatórios com o histórico (semestral, anual) do monitoramento, mostrando seus resultados ao longo de tempo; Prints de telas com dashboards ou outros sistemas informacionais de monitoramento contendo registros históricos. Apresentações realizadas em comitês e em reuniões com a respectiva ata.</t>
  </si>
  <si>
    <t xml:space="preserve">AG-FCG-QPE-204</t>
  </si>
  <si>
    <t xml:space="preserve">ISO-41; ISO-44; ISO-49</t>
  </si>
  <si>
    <t xml:space="preserve">QPE-205</t>
  </si>
  <si>
    <t xml:space="preserve">22.2.5</t>
  </si>
  <si>
    <t xml:space="preserve">*A empresa realiza um monitoramento contínuo do programa de integridade por meio de: registro histórico do desempenho alcançado em cada período em relação às metas estabelecidas com base nos indicadores do programa de integridade?</t>
  </si>
  <si>
    <t xml:space="preserve">Documentos, dashboards, apresentações etc. contendo o registro histórico do desempenho alcançado em cada período em relação às metas e indicadores do programa de integridade.</t>
  </si>
  <si>
    <t xml:space="preserve">AG-FCG-QPE-205</t>
  </si>
  <si>
    <t xml:space="preserve">ISO-41; ISO-43; ISO-45</t>
  </si>
  <si>
    <t xml:space="preserve">A empresa disponibiliza em seu site institucional, em português, informações completas e atualizadas sobre: as principais atividades exercidas?</t>
  </si>
  <si>
    <t xml:space="preserve">Links do site e caminho de navegação, desde a página inicial, para se encontrar as informações solicitadas nos itens. Observações: − Sobre as principais atividades exercidas, apresentar informações sobre o(s) setor(res) de atuação, bem como os bens, produtos e serviços ofertados; − Sobre a identificação dos proprietários e principais acionistas, a informação constante do link deve ser a mais clara e completa possível; − Sobre a identificação da função dos dirigentes, incluindo membros do Conselho de Administração, o link pode trazer a descrição dos cargos e apontar seus ocupantes, ou apresentar um organograma da empresa em que seja possível identificar estas informações; − Sobre a demonstrações financeiras, apresentar o link direto e o caminho no site para acessar essas informações; − Sobre a participação em licitações públicas, o link deve trazer informações (ainda que as mesmas constem do Portal da Transparência) como: ente público licitante, objeto e resultado do certame, incluindo as informações sobre licitação não vencidas; − Sobre os contratos firmados com a Administração Pública, o link deve trazer as seguintes informações (ainda que as mesmas constem do Portal da Transparência): partes contratantes, objeto, valor do contrato, prazo, etapa atual. − Sobre incentivos ou benefícios fiscais, espera-se visualizar informações sobre a natureza do incentivo ou benefício, valores, órgão ou entidade pública concedente, instrumento legal de concessão acompanhado das razões para enquadramento da empresa como beneficiária, prazo de concessão etc.; − Sobre as doações e patrocínios, espera-se visualizar informações sobre as entidades ou projetos beneficiados, objeto da doação ou patrocínio, data de realização, forma de monitoramento das doações e patrocínios realizados; − Sobre os relatórios, eles devem conter informações sobre as ações relacionadas ao programa de integridade promovidas pela empresa no ano de referência, tais como: i) informações sobre a aprovação ou atualização das principais políticas de integridade; (ii) eventuais alterações na estrutura das áreas e comitês relacionados diretamente ao tema integridade; (iii) treinamentos realizados no período e o número de funcionários alcançados por esses treinamentos; (iv) estatísticas dos canais de denúncia e as principais ações de fomento à integridade realizadas internamente e junto aos parceiros de negócio. − Sobre os critérios de integridade, espera-se encontrar as seguintes informações: i) os critérios estabelecidos; ii) os membros da alta direção aos quais são aplicados; iii) como são aplicados e em que momento; iv) como o cumprimento desses critérios é supervisionado; v) indicação expressa sobre a possibilidade de realização de denúncias, caso algum colaborador ou terceiro tenha ciência de acontecimento contrário aos critérios estabelecidos na política. − Sobre a estrutura da equipe que compõe a instância interna responsável pelo programa de integridade, apresentar evidências como organograma de reporte, documento que formalize a linha de reporte, cargo, atribuições e responsabilidades dos seus integrantes etc.; POL-04 — Doações, Patrocínios e Contribuições | POL-06 — Due Diligence de Terceiros</t>
  </si>
  <si>
    <t xml:space="preserve">AG-FCG-QPE-207</t>
  </si>
  <si>
    <t xml:space="preserve">QPE-208</t>
  </si>
  <si>
    <t xml:space="preserve">23.1.2</t>
  </si>
  <si>
    <t xml:space="preserve">A empresa disponibiliza em seu site institucional, em português, informações completas e atualizadas sobre: a identificação de seus proprietários ou principais acionistas?</t>
  </si>
  <si>
    <t xml:space="preserve">AG-FCG-QPE-208</t>
  </si>
  <si>
    <t xml:space="preserve">QPE-209</t>
  </si>
  <si>
    <t xml:space="preserve">23.1.3</t>
  </si>
  <si>
    <t xml:space="preserve">A empresa disponibiliza em seu site institucional, em português, informações completas e atualizadas sobre: a identificação e função de seus executivos e dirigentes?</t>
  </si>
  <si>
    <t xml:space="preserve">AG-FCG-QPE-209</t>
  </si>
  <si>
    <t xml:space="preserve">A empresa disponibiliza em seu site institucional, em português, informações completas e atualizadas sobre: as participações em licitações públicas?</t>
  </si>
  <si>
    <t xml:space="preserve">AG-FCG-QPE-211</t>
  </si>
  <si>
    <t xml:space="preserve">A empresa disponibiliza em seu site institucional, em português, informações completas e atualizadas sobre: os contratos firmados com a Administração Pública?</t>
  </si>
  <si>
    <t xml:space="preserve">AG-FCG-QPE-212</t>
  </si>
  <si>
    <t xml:space="preserve">A empresa disponibiliza em seu site institucional, em português, informações completas e atualizadas sobre: os patrocínios e doações realizados ou informa explicitamente que não realiza tais ações?</t>
  </si>
  <si>
    <t xml:space="preserve">AG-FCG-QPE-214</t>
  </si>
  <si>
    <t xml:space="preserve">19.2.5; 19.2.6</t>
  </si>
  <si>
    <t xml:space="preserve">QPE-215</t>
  </si>
  <si>
    <t xml:space="preserve">23.1.9</t>
  </si>
  <si>
    <t xml:space="preserve">A empresa disponibiliza em seu site institucional, em português, informações completas e atualizadas sobre: o relatório periódico com informações relativas ao programa de integridade (relatório de sustentabilidade / relatório de integridade/ relato integrado/relatório anual)?</t>
  </si>
  <si>
    <t xml:space="preserve">AG-FCG-QPE-215</t>
  </si>
  <si>
    <t xml:space="preserve">A empresa disponibiliza em seu site institucional, em português, informações completas e atualizadas sobre: os critérios de integridade incluídos na política de remuneração variável para os membros da alta direção?</t>
  </si>
  <si>
    <t xml:space="preserve">AG-FCG-QPE-216</t>
  </si>
  <si>
    <t xml:space="preserve">A empresa participa de iniciativas coletivas ou divulga ao público externo ações que promovam a proteção dos direitos humanos?</t>
  </si>
  <si>
    <t xml:space="preserve">Divulgações voltadas ao público externo, promovendo a proteção dos direitos humanos. Isso inclui artigos em jornais, entrevistas, comunicados, e-mails, mensagens no site da empresa e em mídias sociais. Link da internet e/ou documento de adesão à ação coletiva assinado pela instituição promotora e pela empresa, em que conste a associação da empresa com ações coletivas voltadas à proteção dos direitos humanos.</t>
  </si>
  <si>
    <t xml:space="preserve">AG-FCG-QPE-222</t>
  </si>
  <si>
    <t xml:space="preserve">QPE-223</t>
  </si>
  <si>
    <t xml:space="preserve">24.5</t>
  </si>
  <si>
    <t xml:space="preserve">A empresa participa de iniciativas coletivas ou divulga ao público externo ações que promovam o desenvolvimento sustentável, a preservação do meio ambiente e a mitigação ou adaptação às mudanças climáticas?</t>
  </si>
  <si>
    <t xml:space="preserve">Divulgações voltadas ao público externo, promovendo a proteção ao meio ambiente, ações de desenvolvimento sustentável e o combate às mudanças climáticas. Isso inclui artigos em jornais, entrevistas, comunicados, e-mails, mensagens no site da empresa e em mídias sociais. Link da internet e/ou documento de adesão à ação coletiva assinado pela instituição promotora e pela empresa, em que conste a associação da empresa com ações coletivas voltadas à proteção ao meio ambiente, a ações de desenvolvimento sustentável e de combate às mudanças climáticas.</t>
  </si>
  <si>
    <t xml:space="preserve">AG-FCG-QPE-223</t>
  </si>
  <si>
    <t xml:space="preserve">Etapa III · Complemento do Pró-Ética — 137 perguntas novas</t>
  </si>
  <si>
    <t xml:space="preserve">Fonte: portal (DB.Q trilha Pró-Ética).</t>
  </si>
  <si>
    <t xml:space="preserve">QPE-003</t>
  </si>
  <si>
    <t xml:space="preserve">Pró-Ética</t>
  </si>
  <si>
    <t xml:space="preserve">Os critérios de integridade aplicados no processo de seleção de membros da alta direção são divulgados para o público interno da empresa? Se sim, informar como é feita essa divulgação.</t>
  </si>
  <si>
    <t xml:space="preserve">Comunicados e publicações internas informando os critérios de integridade aplicados, tais como e-mails, vídeos, reuniões e eventos, divulgações no site/intranet ou por meios físicos etc.</t>
  </si>
  <si>
    <t xml:space="preserve">AG-FCG-QPE-003</t>
  </si>
  <si>
    <t xml:space="preserve">QPE-007</t>
  </si>
  <si>
    <t xml:space="preserve">2.3</t>
  </si>
  <si>
    <t xml:space="preserve">A avaliação dos relatórios periódicos pela alta direção considera tanto aspectos quantitativos quanto qualitativos de aplicação do programa de integridade?</t>
  </si>
  <si>
    <t xml:space="preserve">Documentos que indiquem a forma como a alta direção avalia os relatórios periódicos do programa de integridade, tais como: − atas de reuniões entre membros da alta direção e responsáveis pelas atividades do programa de integridade, documentos, relatórios e recomendações, com análises quantitativas (dados numéricos) e qualitativas (relatórios críticos, escalas explicativas ou palavras descritivas).</t>
  </si>
  <si>
    <t xml:space="preserve">AG-FCG-QPE-007</t>
  </si>
  <si>
    <t xml:space="preserve">ISO-08; ISO-44; ISO-47</t>
  </si>
  <si>
    <t xml:space="preserve">QPE-008</t>
  </si>
  <si>
    <t xml:space="preserve">2.4</t>
  </si>
  <si>
    <t xml:space="preserve">A empresa possui em sua estrutura organizacional órgão(s) colegiado(s) para tratar de temas de ética e integridade que contam com a participação de membros da alta direção, como comitês e conselhos de ética?</t>
  </si>
  <si>
    <t xml:space="preserve">Documentos que demonstrem a existência de órgão colegiado responsável por tratar de temas relacionados ao programa de integridade, como estatutos, regimentos, políticas internas, atas, e que indiquem a participação ativa dos membros da alta direção nesse colegiado.</t>
  </si>
  <si>
    <t xml:space="preserve">AG-FCG-QPE-008</t>
  </si>
  <si>
    <t xml:space="preserve">ISO-08</t>
  </si>
  <si>
    <t xml:space="preserve">QPE-009</t>
  </si>
  <si>
    <t xml:space="preserve">2.4.1</t>
  </si>
  <si>
    <t xml:space="preserve">Os membros da alta direção que integram esse(s) órgão(s) são qualificados para tratar do tema integridade ou receberam capacitação específica em compliance para participar do colegiado?</t>
  </si>
  <si>
    <t xml:space="preserve">Documentos que comprovem a qualificação ou realização de treinamentos relevantes para que os membros da alta direção possam exercer de forma adequada suas atribuições no colegiado que trata de temas de ética e integridade (currículo, listas de presença acompanhadas dos materiais de apoio dos treinamentos, fotos, vídeos, certificados).</t>
  </si>
  <si>
    <t xml:space="preserve">AG-FCG-QPE-009</t>
  </si>
  <si>
    <t xml:space="preserve">ISO-21</t>
  </si>
  <si>
    <t xml:space="preserve">QPE-010</t>
  </si>
  <si>
    <t xml:space="preserve">2.4.2</t>
  </si>
  <si>
    <t xml:space="preserve">Os membros da alta direção que integram esse(s) órgão(s) receberam capacitação específica em temas relacionados com o combate ao preconceito, à discriminação e ao assédio de qualquer natureza para participar do colegiado?</t>
  </si>
  <si>
    <t xml:space="preserve">Documentos que evidenciam a qualificação ou treinamentos realizados pela alta direção para atuar adequadamente em temas relacionados com o combate ao preconceito, à discriminação e ao assédio de qualquer natureza, incluindo currículo, listas de presença, materiais de apoio dos treinamentos, fotos, vídeos e certificados.</t>
  </si>
  <si>
    <t xml:space="preserve">AG-FCG-QPE-010</t>
  </si>
  <si>
    <t xml:space="preserve">QPE-011</t>
  </si>
  <si>
    <t xml:space="preserve">2.4.3</t>
  </si>
  <si>
    <t xml:space="preserve">A forma como ocorre a participação dos membros da alta direção nesse(s) órgão(s) está formalizada em regimento próprio ou documento equivalente? Se sim, detalhar sua composição, suas atribuições e a periodicidade de reuniões.</t>
  </si>
  <si>
    <t xml:space="preserve">Documentos que demonstrem como ocorre a participação da alta direção no órgão colegiado (competências, atribuições, composição, quórum para decisão, periodicidade de reuniões) responsável por tratar de temas relacionados ao programa de integridade, como estatutos, regimentos, políticas internas, atas.</t>
  </si>
  <si>
    <t xml:space="preserve">AG-FCG-QPE-011</t>
  </si>
  <si>
    <t xml:space="preserve">QPE-012</t>
  </si>
  <si>
    <t xml:space="preserve">2.4.4</t>
  </si>
  <si>
    <t xml:space="preserve">Foram apresentados documentos que comprovem a realização de mais de 2 (duas) reuniões desse(s) órgão(s) no período avaliado?</t>
  </si>
  <si>
    <t xml:space="preserve">Atas, comunicações internas ou outros documentos que comprovem a realização de reuniões do colegiado para tratar de temas de ética e integridade e que contem com a participação de membros da alta direção.</t>
  </si>
  <si>
    <t xml:space="preserve">AG-FCG-QPE-012</t>
  </si>
  <si>
    <t xml:space="preserve">ISO-08; ISO-48</t>
  </si>
  <si>
    <t xml:space="preserve">QPE-015</t>
  </si>
  <si>
    <t xml:space="preserve">3.2.1</t>
  </si>
  <si>
    <t xml:space="preserve">As manifestações de apoio ao programa de integridade: são feitas por diferentes membros da alta direção da empresa avaliada, incluindo integrantes do Conselho de Administração, quando for o caso?</t>
  </si>
  <si>
    <t xml:space="preserve">Manifestações de apoio ao programa de integridade emitidas por diferentes membros da alta direção para demonstrar seu comprometimento.</t>
  </si>
  <si>
    <t xml:space="preserve">AG-FCG-QPE-015</t>
  </si>
  <si>
    <t xml:space="preserve">QPE-016</t>
  </si>
  <si>
    <t xml:space="preserve">3.2.2</t>
  </si>
  <si>
    <t xml:space="preserve">As manifestações de apoio ao programa de integridade: São feitas por membros da média gerência da empresa avaliada?</t>
  </si>
  <si>
    <t xml:space="preserve">Manifestações de apoio ao programa de integridade realizada por gerentes, supervisores, coordenadores, chefes de setor, diretores adjuntos e outros líderes da média gerência, reforçando o compromisso da empresa com a ética e a transparência em todos os níveis da empresa.</t>
  </si>
  <si>
    <t xml:space="preserve">AG-FCG-QPE-016</t>
  </si>
  <si>
    <t xml:space="preserve">QPE-017</t>
  </si>
  <si>
    <t xml:space="preserve">3.2.3</t>
  </si>
  <si>
    <t xml:space="preserve">As manifestações de apoio ao programa de integridade: são realizadas de forma periódica com comprovação de, ao menos, 4 (quatro) manifestações no período avaliado?</t>
  </si>
  <si>
    <t xml:space="preserve">ao menos, 4 (quatro) manifestações no período avaliado?, Evidências de pelo menos 4 (quatro) manifestações públicas no período avaliado.</t>
  </si>
  <si>
    <t xml:space="preserve">AG-FCG-QPE-017</t>
  </si>
  <si>
    <t xml:space="preserve">QPE-018</t>
  </si>
  <si>
    <t xml:space="preserve">3.2.4</t>
  </si>
  <si>
    <t xml:space="preserve">As manifestações de apoio ao programa de integridade: são divulgadas por diferentes meios para alcançar o público interno da empresa em toda sua diversidade?</t>
  </si>
  <si>
    <t xml:space="preserve">Correlação entre os diversos públicos de empregados da empresa com os meios de divulgação das manifestações ao programa de integridade, tais como e-mails, cartazes, comunicados, mídia social, intranet etc.</t>
  </si>
  <si>
    <t xml:space="preserve">AG-FCG-QPE-018</t>
  </si>
  <si>
    <t xml:space="preserve">QPE-021</t>
  </si>
  <si>
    <t xml:space="preserve">3.2.7</t>
  </si>
  <si>
    <t xml:space="preserve">As manifestações de apoio ao programa de integridade: alcançam o público externo da empresa, o que inclui a sua participação em ações coletivas relacionadas ao tema integridade e prevenção da corrupção?</t>
  </si>
  <si>
    <t xml:space="preserve">Material relacionado a manifestações públicas da alta direção ao público externo, promovendo o comportamento ético e demonstrando o compromisso da empresa com a prevenção e o combate à corrupção, como artigos, entrevistas, publicações online, postagens institucionais, além de links ou documentos que comprovem a adesão da empresa a iniciativas coletivas de integridade.</t>
  </si>
  <si>
    <t xml:space="preserve">AG-FCG-QPE-021</t>
  </si>
  <si>
    <t xml:space="preserve">QPE-022</t>
  </si>
  <si>
    <t xml:space="preserve">3.3</t>
  </si>
  <si>
    <t xml:space="preserve">A empresa elabora orçamento que contemple recursos destinados às atividades da área responsável pelo programa de integridade, aprovado pela alta direção, antes de cada exercício?</t>
  </si>
  <si>
    <t xml:space="preserve">aprovado pela alta direção, antes de cada exercício?, Documentos que comprovem a elaboração de orçamento para as atividades da área de integridade, como atas de reuniões, aprovações formais, estudos ou notas técnicas.</t>
  </si>
  <si>
    <t xml:space="preserve">AG-FCG-QPE-022</t>
  </si>
  <si>
    <t xml:space="preserve">ISO-09; ISO-20</t>
  </si>
  <si>
    <t xml:space="preserve">QPE-023</t>
  </si>
  <si>
    <t xml:space="preserve">3.3.1</t>
  </si>
  <si>
    <t xml:space="preserve">O processo de elaboração do orçamento de que trata o item 3.3 conta com a participação da instância responsável pelo programa de integridade? Se sim, descrever a forma como ocorre essa participação.</t>
  </si>
  <si>
    <t xml:space="preserve">Documentos que evidenciam a participação da área responsável pelo programa de integridade na elaboração do orçamento destinado às atividades da área, tais como: atas de reuniões, aprovações formais, estudos ou notas técnicas da instância responsável.</t>
  </si>
  <si>
    <t xml:space="preserve">AG-FCG-QPE-023</t>
  </si>
  <si>
    <t xml:space="preserve">QPE-026</t>
  </si>
  <si>
    <t xml:space="preserve">4.2.2</t>
  </si>
  <si>
    <t xml:space="preserve">A instância interna responsável pelo programa de integridade: Dedica-se exclusivamente às atividades relacionadas ao programa de integridade?</t>
  </si>
  <si>
    <t xml:space="preserve">Documento formal (ex.: estatuto, regimento interno, política de integridade, descritivo do cargo etc.) que demonstre que a atuação é exclusiva nas atividades do programa de integridade, sem qualquer envolvimento em outras áreas ou funções da empresa.</t>
  </si>
  <si>
    <t xml:space="preserve">AG-FCG-QPE-026</t>
  </si>
  <si>
    <t xml:space="preserve">QPE-027</t>
  </si>
  <si>
    <t xml:space="preserve">4.2.3</t>
  </si>
  <si>
    <t xml:space="preserve">A instância interna responsável pelo programa de integridade: possui uma área ou equipe específica responsável pela aplicação do programa de integridade no Brasil? Se sim, indicar o número de funcionários dedicados exclusivamente às atividades relacionadas ao Programa de Integridade no Brasil.</t>
  </si>
  <si>
    <t xml:space="preserve">Documento formal, como estatuto, regimento interno, política de integridade ou descritivo de cargo. Deve-se demonstrar se a atuação dos responsáveis pelo programa de integridade no Brasil é exclusiva no país ou compartilhada com instâncias administrativas no exterior. Também é necessário evidenciar se a estrutura de gestão é compatível com o porte da empresa, sua área de atuação e os riscos associados às suas atividades.</t>
  </si>
  <si>
    <t xml:space="preserve">AG-FCG-QPE-027</t>
  </si>
  <si>
    <t xml:space="preserve">QPE-028</t>
  </si>
  <si>
    <t xml:space="preserve">4.2.4</t>
  </si>
  <si>
    <t xml:space="preserve">A instância interna responsável pelo programa de integridade: possui área ou equipe específica responsável pela aplicação do programa de integridade em suas subsidiárias no exterior? Se sim, indicar o número de funcionários dedicados exclusivamente às atividades relacionadas ao Programa de Integridade.</t>
  </si>
  <si>
    <t xml:space="preserve">Documento formal, como estatuto, regimento interno, política de integridade ou descritivo de cargo, que evidencie a atuação dedicada à implementação e aplicação do programa de integridade na subsidiária no exterior.</t>
  </si>
  <si>
    <t xml:space="preserve">AG-FCG-QPE-028</t>
  </si>
  <si>
    <t xml:space="preserve">QPE-029</t>
  </si>
  <si>
    <t xml:space="preserve">4.2.5</t>
  </si>
  <si>
    <t xml:space="preserve">A instância interna responsável pelo programa de integridade: possui estrutura independente, não estando subordinada a outro departamento da empresa – jurídico, auditoria, RH etc.?</t>
  </si>
  <si>
    <t xml:space="preserve">Documento como política ou procedimento que formalize tal estrutura, organograma da empresa que demonstre a posição hierárquica e as linhas de reporte da área de integridade.</t>
  </si>
  <si>
    <t xml:space="preserve">AG-FCG-QPE-029</t>
  </si>
  <si>
    <t xml:space="preserve">ISO-11; ISO-14</t>
  </si>
  <si>
    <t xml:space="preserve">QPE-030</t>
  </si>
  <si>
    <t xml:space="preserve">4.2.6</t>
  </si>
  <si>
    <t xml:space="preserve">A instância interna responsável pelo programa de integridade: conta com quantitativo de funcionários proporcional às atribuições conferidas à área, incluindo representantes nas diferentes localidades em que a empresa atua (quando for o caso)? (questão direcionada ao avaliador)</t>
  </si>
  <si>
    <t xml:space="preserve">AG-FCG-QPE-030</t>
  </si>
  <si>
    <t xml:space="preserve">ISO-14; ISO-20</t>
  </si>
  <si>
    <t xml:space="preserve">QPE-031</t>
  </si>
  <si>
    <t xml:space="preserve">4.2.7</t>
  </si>
  <si>
    <t xml:space="preserve">A instância interna responsável pelo programa de integridade: faz uso de inteligência artificial (IA) na execução de suas atividades? Se sim, descrever a ferramenta e como ela é aplicada. (questão sem pontuação)</t>
  </si>
  <si>
    <t xml:space="preserve">Documentos que comprovem a utilização de inteligência artificial no planejamento ou na execução das atividades relacionadas ao programa de integridade, detalhando a ferramenta empregada, sua aplicação específica e como ela contribui para a gestão e eficiência do programa.</t>
  </si>
  <si>
    <t xml:space="preserve">AG-FCG-QPE-031</t>
  </si>
  <si>
    <t xml:space="preserve">ISO-20</t>
  </si>
  <si>
    <t xml:space="preserve">QPE-032</t>
  </si>
  <si>
    <t xml:space="preserve">4.2.8</t>
  </si>
  <si>
    <t xml:space="preserve">A instância interna responsável pelo programa de integridade: recebeu, no período avaliado, capacitação específica em temas relacionados com o combate ao preconceito, à discriminação e ao assédio de qualquer natureza?</t>
  </si>
  <si>
    <t xml:space="preserve">Documentos que comprovem a qualificação ou realização de treinamentos relevantes sobre os temas descritos para os membros e colaboradores da instância interna responsável pelo programa de integridade, como: currículo, listas de presença acompanhadas do material didático utilizado, fotos, vídeos, certificados e outros comprovantes.</t>
  </si>
  <si>
    <t xml:space="preserve">AG-FCG-QPE-032</t>
  </si>
  <si>
    <t xml:space="preserve">ISO-14; ISO-21</t>
  </si>
  <si>
    <t xml:space="preserve">QPE-033</t>
  </si>
  <si>
    <t xml:space="preserve">O responsável pela instância interna possui como prerrogativa a possibilidade de se reportar diretamente ao nível hierárquico mais elevado da empresa – no Brasil e no exterior, quando for o caso?</t>
  </si>
  <si>
    <t xml:space="preserve">Documento formal (ex.: estatuto, regimento interno e política de integridade) especificando as garantias aplicadas à área responsável pelo programa de integridade, incluindo a confirmação de que a área reporta diretamente ao mais alto nível hierárquico da empresa no Brasil ou exterior, conforme o caso.</t>
  </si>
  <si>
    <t xml:space="preserve">AG-FCG-QPE-033</t>
  </si>
  <si>
    <t xml:space="preserve">QPE-034</t>
  </si>
  <si>
    <t xml:space="preserve">5.1.1</t>
  </si>
  <si>
    <t xml:space="preserve">Essa prerrogativa é de fato exercida, tendo o representante da instância interna responsável pelo programa se reunido com o nível hierárquico mais elevado da empresa pelo menos 4 (quatro) vezes no período avaliado?</t>
  </si>
  <si>
    <t xml:space="preserve">Documentos que comprovem o reporte direto, tais como atas de reuniões, entre a instância de integridade e a alta direção da empresa, compreendendo ainda a apresentação de relatórios, estudos, e proposições submetidas à apreciação/conhecimento da alta direção.</t>
  </si>
  <si>
    <t xml:space="preserve">AG-FCG-QPE-034</t>
  </si>
  <si>
    <t xml:space="preserve">ISO-11; ISO-14; ISO-44; ISO-49</t>
  </si>
  <si>
    <t xml:space="preserve">QPE-035</t>
  </si>
  <si>
    <t xml:space="preserve">O responsável pela instância interna possui garantias expressas que possibilitam o exercício das suas atribuições com independência e autoridade?</t>
  </si>
  <si>
    <t xml:space="preserve">Documento formal (ex.: estatuto, regimento interno, política de integridade, job description) especificando as garantias aplicadas à área responsável pelo programa de integridade, tais como: validade e execução de suas decisões; independência na investigação e apuração das acusações e casos de violações éticas/legais; permissão de acesso a documentos e pessoas de diferentes departamentos da empresa; proteção contra punições arbitrárias; mandato; remuneração compatível com cargos de igual posição hierárquica etc.; POL-10 — Investigações e Medidas Disciplinares</t>
  </si>
  <si>
    <t xml:space="preserve">AG-FCG-QPE-035</t>
  </si>
  <si>
    <t xml:space="preserve">QPE-036</t>
  </si>
  <si>
    <t xml:space="preserve">O responsável pela instância interna atua diretamente ou como instância supervisora na investigação e apuração de situações que configurem violações éticas ou legais?</t>
  </si>
  <si>
    <t xml:space="preserve">Documento formal (ex.: estatuto, regimento interno, política de integridade, job description) que indique, no fluxo de tratamento de investigações e apurações de violações éticas e legais, que a instância de integridade atua diretamente ou supervisiona-o.; POL-10 — Investigações e Medidas Disciplinares</t>
  </si>
  <si>
    <t xml:space="preserve">AG-FCG-QPE-036</t>
  </si>
  <si>
    <t xml:space="preserve">QPE-039</t>
  </si>
  <si>
    <t xml:space="preserve">6.1.2</t>
  </si>
  <si>
    <t xml:space="preserve">A política ou planejamento que trata da gestão de riscos determina a área ou pessoa responsável pela gestão de riscos?</t>
  </si>
  <si>
    <t xml:space="preserve">determinação da área ou pessoa responsável pela gestão de riscos;; Documento normativo do tema explicitamente citado na pergunta; não atribuir automaticamente uma das 11 políticas essenciais.</t>
  </si>
  <si>
    <t xml:space="preserve">AG-FCG-QPE-039</t>
  </si>
  <si>
    <t xml:space="preserve">ISO-07; ISO-13</t>
  </si>
  <si>
    <t xml:space="preserve">QPE-040</t>
  </si>
  <si>
    <t xml:space="preserve">6.1.3</t>
  </si>
  <si>
    <t xml:space="preserve">A política ou planejamento que trata da gestão de riscos contém evidências de sua aprovação pela alta direção?</t>
  </si>
  <si>
    <t xml:space="preserve">evidências de sua aprovação pela alta direção, como atas de normas, atas de reunião ou planejamento da empresa que incluem e detalham revisões e aprovação, por parte da alta direção, na gestão dos riscos em virtude de novos riscos identificados, ou de alteração na análise de impacto e probabilidade.; Documento normativo do tema explicitamente citado na pergunta; não atribuir automaticamente uma das 11 políticas essenciais.</t>
  </si>
  <si>
    <t xml:space="preserve">AG-FCG-QPE-040</t>
  </si>
  <si>
    <t xml:space="preserve">QPE-045</t>
  </si>
  <si>
    <t xml:space="preserve">6.3.4</t>
  </si>
  <si>
    <t xml:space="preserve">A análise de riscos para a integridade realizada contempla: As medidas de contingência para o caso de concretização dos riscos?</t>
  </si>
  <si>
    <t xml:space="preserve">Política ou planejamento da empresa, aprovado(s) pela alta direção, que trate da gestão de riscos e que defina a metodologia de análise de riscos, contendo: o plano de contingência para o caso de concretização dos riscos.;</t>
  </si>
  <si>
    <t xml:space="preserve">AG-FCG-QPE-045</t>
  </si>
  <si>
    <t xml:space="preserve">QPE-046</t>
  </si>
  <si>
    <t xml:space="preserve">6.3.5</t>
  </si>
  <si>
    <t xml:space="preserve">A análise de riscos para a integridade realizada contempla: os riscos para a integridade relacionados às atividades de suas controladas/subsidiárias, se for o caso?</t>
  </si>
  <si>
    <t xml:space="preserve">Política ou planejamento da empresa, aprovado(s) pela alta direção, que trate da gestão de riscos e que defina a metodologia de análise de riscos, contendo: a identificação dos riscos de integridade associados às atividades das controladas ou subsidiárias, relacionadas à corrupção e fraude;</t>
  </si>
  <si>
    <t xml:space="preserve">AG-FCG-QPE-046</t>
  </si>
  <si>
    <t xml:space="preserve">ISO-07; ISO-35</t>
  </si>
  <si>
    <t xml:space="preserve">QPE-047</t>
  </si>
  <si>
    <t xml:space="preserve">6.3.6</t>
  </si>
  <si>
    <t xml:space="preserve">A análise de riscos para a integridade realizada contempla: A aprovação pela alta direção da empresa?</t>
  </si>
  <si>
    <t xml:space="preserve">Política ou planejamento da empresa, aprovado(s) pela alta direção, que trate da gestão de riscos e que defina a metodologia de análise de riscos, contendo: Documentos como atas de reunião e relatórios formalmente homologados, que indicam a aprovação pela alta direção da empresa;</t>
  </si>
  <si>
    <t xml:space="preserve">AG-FCG-QPE-047</t>
  </si>
  <si>
    <t xml:space="preserve">QPE-048</t>
  </si>
  <si>
    <t xml:space="preserve">6.3.7</t>
  </si>
  <si>
    <t xml:space="preserve">A análise de riscos para a integridade realizada contempla: A participação da área responsável pelo programa de integridade na análise do risco priorizado.</t>
  </si>
  <si>
    <t xml:space="preserve">Política ou planejamento da empresa, aprovado(s) pela alta direção, que trate da gestão de riscos e que defina a metodologia de análise de riscos, contendo: Documentos como atas de reunião e relatório que indicam a participação da área responsável pelo programa de integridade análise do risco priorizado; apetite ao risco; estratégia utilizada para cada</t>
  </si>
  <si>
    <t xml:space="preserve">AG-FCG-QPE-048</t>
  </si>
  <si>
    <t xml:space="preserve">QPE-049</t>
  </si>
  <si>
    <t xml:space="preserve">6.4</t>
  </si>
  <si>
    <t xml:space="preserve">No período avaliado, a empresa identificou e tratou riscos relacionados à violação dos direitos humanos?</t>
  </si>
  <si>
    <t xml:space="preserve">Exemplos de processos reais como matriz de risco, relatórios, plano de gestão, que identificou e tratou os riscos à violação dos direitos humanos;</t>
  </si>
  <si>
    <t xml:space="preserve">AG-FCG-QPE-049</t>
  </si>
  <si>
    <t xml:space="preserve">QPE-054</t>
  </si>
  <si>
    <t xml:space="preserve">7.2.3</t>
  </si>
  <si>
    <t xml:space="preserve">O Código de Ética e Conduta, ou documento equivalente, apresentado: está alinhado às especificidades da empresa, como áreas de atuação e grau de interação com a Administração Pública? (questão direcionada ao avaliador)</t>
  </si>
  <si>
    <t xml:space="preserve">POL-01 — Código de Ética</t>
  </si>
  <si>
    <t xml:space="preserve">AG-FCG-QPE-054</t>
  </si>
  <si>
    <t xml:space="preserve">QPE-057</t>
  </si>
  <si>
    <t xml:space="preserve">7.2.6</t>
  </si>
  <si>
    <t xml:space="preserve">O Código de Ética e Conduta, ou documento equivalente, apresentado: indica expressamente os responsáveis por dirimir dúvidas sobre sua aplicação?</t>
  </si>
  <si>
    <t xml:space="preserve">Indicar a seção e a página do Código de Ética e Conduta ou documento equivalente onde conste expressamente os responsáveis por dirimir dúvidas sobre sua aplicação.; POL-01 — Código de Ética</t>
  </si>
  <si>
    <t xml:space="preserve">AG-FCG-QPE-057</t>
  </si>
  <si>
    <t xml:space="preserve">QPE-058</t>
  </si>
  <si>
    <t xml:space="preserve">7.2.7</t>
  </si>
  <si>
    <t xml:space="preserve">O Código de Ética e Conduta, ou documento equivalente, apresentado: indica expressamente a existência e a forma de acesso dos canais para realização de denúncias de violações éticas/legais?</t>
  </si>
  <si>
    <t xml:space="preserve">Indicar a seção e a página do Código de Ética e Conduta ou documento equivalente onde são informados os canais de denúncia para violações éticas ou legais e como acessá-los.; POL-01 — Código de Ética</t>
  </si>
  <si>
    <t xml:space="preserve">AG-FCG-QPE-058</t>
  </si>
  <si>
    <t xml:space="preserve">II; X</t>
  </si>
  <si>
    <t xml:space="preserve">QPE-059</t>
  </si>
  <si>
    <t xml:space="preserve">7.2.8</t>
  </si>
  <si>
    <t xml:space="preserve">O Código de Ética e Conduta, ou documento equivalente, apresentado: prevê expressamente as garantias para proteção do denunciante de boa-fé?</t>
  </si>
  <si>
    <t xml:space="preserve">Indicar a seção e a página do Código de Ética e Conduta ou documento equivalente onde se prevê expressamente as garantias para proteção do denunciante de boa-fé.; POL-01 — Código de Ética</t>
  </si>
  <si>
    <t xml:space="preserve">AG-FCG-QPE-059</t>
  </si>
  <si>
    <t xml:space="preserve">ISO-12; ISO-24; ISO-39</t>
  </si>
  <si>
    <t xml:space="preserve">QPE-060</t>
  </si>
  <si>
    <t xml:space="preserve">7.2.9</t>
  </si>
  <si>
    <t xml:space="preserve">O Código de Ética e Conduta, ou documento equivalente, apresentado: expressa o compromisso da empresa em combater o preconceito, a discriminação e o assédio de qualquer natureza em suas relações internas e externas?</t>
  </si>
  <si>
    <t xml:space="preserve">Indicar a seção e a página do Código de Ética e Conduta ou documento equivalente onde a empresa reafirma seu compromisso contra o preconceito, a discriminação e o assédio em todas as suas relações.; POL-01 — Código de Ética</t>
  </si>
  <si>
    <t xml:space="preserve">AG-FCG-QPE-060</t>
  </si>
  <si>
    <t xml:space="preserve">QPE-063</t>
  </si>
  <si>
    <t xml:space="preserve">7.2.12</t>
  </si>
  <si>
    <t xml:space="preserve">O Código de Ética e Conduta, ou documento equivalente, apresentado: possui uma linguagem clara e de fácil compreensão? (questão direcionada ao avaliador)</t>
  </si>
  <si>
    <t xml:space="preserve">AG-FCG-QPE-063</t>
  </si>
  <si>
    <t xml:space="preserve">QPE-064</t>
  </si>
  <si>
    <t xml:space="preserve">7.2.13</t>
  </si>
  <si>
    <t xml:space="preserve">O Código de Ética e Conduta, ou documento equivalente, apresentado: possui versão nos principais idiomas dos demais países em que a empresa atua?</t>
  </si>
  <si>
    <t xml:space="preserve">Evidência que informa tanto o link de acesso quanto o caminho da página inicial do site da empresa até o Código de Ética e Conduta ou documento equivalente nos principais idiomas dos demais países que a empresa atua.; POL-01 — Código de Ética</t>
  </si>
  <si>
    <t xml:space="preserve">AG-FCG-QPE-064</t>
  </si>
  <si>
    <t xml:space="preserve">QPE-065</t>
  </si>
  <si>
    <t xml:space="preserve">7.2.14</t>
  </si>
  <si>
    <t xml:space="preserve">O Código de Ética e Conduta, ou documento equivalente, apresentado: pode ser facilmente acessado pelos empregados da empresa, incluindo aqueles que não possuem acesso a computadores, se for o caso?</t>
  </si>
  <si>
    <t xml:space="preserve">Evidência que forneça o link e o caminho detalhado para acesso ao Código de Ética e Conduta ou equivalente no site da empresa. Caso alguns colaboradores não tenham internet no trabalho, enviar comprovação visual (fotos, vídeos) que demonstre a presença do Código impresso nos espaços físicos da organização.; POL-01 — Código de Ética</t>
  </si>
  <si>
    <t xml:space="preserve">AG-FCG-QPE-065</t>
  </si>
  <si>
    <t xml:space="preserve">ISO-27</t>
  </si>
  <si>
    <t xml:space="preserve">QPE-224</t>
  </si>
  <si>
    <t xml:space="preserve">7.4</t>
  </si>
  <si>
    <t xml:space="preserve">A empresa exige que seus empregados declarem expressamente ciência do Código de Ética e compromisso de observá-lo?</t>
  </si>
  <si>
    <t xml:space="preserve">Atestes ou declarações de ciência, assinados pelos empregados; especificar como e quando são obtidos.; POL-01 — Código de Ética</t>
  </si>
  <si>
    <t xml:space="preserve">AG-FCG-QPE-224</t>
  </si>
  <si>
    <t xml:space="preserve">ISO-15; ISO-22; ISO-27</t>
  </si>
  <si>
    <t xml:space="preserve">QPE-067</t>
  </si>
  <si>
    <t xml:space="preserve">Código de Ética e Conduta aplicável a terceiros: A empresa possui Código de Ética e Conduta, ou documento equivalente, aplicável a terceiros e disponível em português?</t>
  </si>
  <si>
    <t xml:space="preserve">Código de Ética e Conduta da empresa ou documento equivalente aplicável a terceiros, em português. Caso seja parte do Código de Ética geral da empresa, devem ser apresentadas seções específicas para terceiros. Referências genéricas no Código de Conduta geral não serão aceitas.; POL-01 — Código de Ética | POL-06 — Due Diligence de Terceiros</t>
  </si>
  <si>
    <t xml:space="preserve">AG-FCG-QPE-067</t>
  </si>
  <si>
    <t xml:space="preserve">ISO-35</t>
  </si>
  <si>
    <t xml:space="preserve">QPE-068</t>
  </si>
  <si>
    <t xml:space="preserve">8.2.1</t>
  </si>
  <si>
    <t xml:space="preserve">O Código de Ética e Conduta da empresa ou documento equivalente aplicável a terceiros: proíbe expressamente a prática de corrupção e outros atos lesivos à Administração Pública por parte dos terceiros?</t>
  </si>
  <si>
    <t xml:space="preserve">Seção e a página do Código de Ética e Conduta aplicável a terceiros ou documento equivalente onde se proíbe expressamente a prática de corrupção e outros atos lesivos à Administração Pública.; POL-01 — Código de Ética | POL-06 — Due Diligence de Terceiros</t>
  </si>
  <si>
    <t xml:space="preserve">AG-FCG-QPE-068</t>
  </si>
  <si>
    <t xml:space="preserve">QPE-069</t>
  </si>
  <si>
    <t xml:space="preserve">8.2.2</t>
  </si>
  <si>
    <t xml:space="preserve">O Código de Ética e Conduta da empresa ou documento equivalenteaplicável a terceiros: indica expressamente a existência e a forma de acesso dos canais para realização de denúncias de violações éticas/legais para os terceiros?</t>
  </si>
  <si>
    <t xml:space="preserve">Seção e a página do Código de Ética e Conduta para terceiros ou documento equivalente onde são mencionados os canais disponíveis para denúncias de violações éticas/legais.; POL-01 — Código de Ética | POL-06 — Due Diligence de Terceiros</t>
  </si>
  <si>
    <t xml:space="preserve">AG-FCG-QPE-069</t>
  </si>
  <si>
    <t xml:space="preserve">QPE-070</t>
  </si>
  <si>
    <t xml:space="preserve">8.2.3</t>
  </si>
  <si>
    <t xml:space="preserve">O Código de Ética e Conduta da empresa ou documento equivalente aplicável a terceiros: menciona a possibilidade de aplicação de sanções para os terceiros que cometerem violações éticas/legais?</t>
  </si>
  <si>
    <t xml:space="preserve">Seção e a página do Código de Ética e Conduta para terceiros ou documento equivalente que trata das sanções previstas a terceiros em caso de violações éticas ou legais.; POL-01 — Código de Ética | POL-06 — Due Diligence de Terceiros</t>
  </si>
  <si>
    <t xml:space="preserve">AG-FCG-QPE-070</t>
  </si>
  <si>
    <t xml:space="preserve">QPE-071</t>
  </si>
  <si>
    <t xml:space="preserve">A empresa disponibiliza esse documento em sua página eletrônica ou informa como ele pode ser acessado por esses terceiros?</t>
  </si>
  <si>
    <t xml:space="preserve">Informar tanto o link de acesso quanto o caminho da página inicial do site da empresa até o Código de Ética e Conduta para terceiros ou documento equivalente.; POL-01 — Código de Ética | POL-06 — Due Diligence de Terceiros</t>
  </si>
  <si>
    <t xml:space="preserve">AG-FCG-QPE-071</t>
  </si>
  <si>
    <t xml:space="preserve">QPE-077</t>
  </si>
  <si>
    <t xml:space="preserve">9.1.5</t>
  </si>
  <si>
    <t xml:space="preserve">A empresa possui políticas e procedimentos de integridade que: estabelecem orientações para que seus administradores, empregados ou terceiros, agindo em nome da empresa, cooperem com eventuais investigações e fiscalizações realizadas por órgãos, entidades ou agentes públicos?</t>
  </si>
  <si>
    <t xml:space="preserve">estabelecem diretrizes para que administradores, empregados ou terceiros, em nome da empresa, colaborem com investigações e fiscalizações conduzidas por órgãos, entidades ou agentes públicos; 9.1.6 abordam a realização de doações e patrocínios ou que deixam claro que a empresa não realiza essas atividades;; POL-04 — Doações, Patrocínios e Contribuições | POL-05 — Relacionamento com o Setor Público | POL-06 — Due Diligence de Terceiros | POL-10 — Investigações e Medidas Disciplinares</t>
  </si>
  <si>
    <t xml:space="preserve">AG-FCG-QPE-077</t>
  </si>
  <si>
    <t xml:space="preserve">ISO-31</t>
  </si>
  <si>
    <t xml:space="preserve">QPE-079</t>
  </si>
  <si>
    <t xml:space="preserve">As políticas e procedimentos de integridade apresentados: são proporcionais ao perfil da empresa e aos riscos a que está submetida? (questão direcionada ao avaliador)</t>
  </si>
  <si>
    <t xml:space="preserve">AG-FCG-QPE-079</t>
  </si>
  <si>
    <t xml:space="preserve">ISO-05; ISO-31</t>
  </si>
  <si>
    <t xml:space="preserve">QPE-080</t>
  </si>
  <si>
    <t xml:space="preserve">As políticas e procedimentos de integridade apresentados: são operacionais e contam com mecanismos que visem sua aplicação, isto é, não são apenas documentos principiológicos? (questão direcionada ao avaliador)</t>
  </si>
  <si>
    <t xml:space="preserve">AG-FCG-QPE-080</t>
  </si>
  <si>
    <t xml:space="preserve">QPE-081</t>
  </si>
  <si>
    <t xml:space="preserve">As políticas e procedimentos de integridade apresentados: indicam os responsáveis por sua aplicação e monitoramento? Se sim, esclarecer se é utilizado algum sistema/software na aplicação e controle dessas políticas e procedimentos.</t>
  </si>
  <si>
    <t xml:space="preserve">Evidência que indique a seção e a página das políticas, regras, orientações ou procedimentos que apontam os responsáveis pela aplicação e monitoramento. Caso exista, apresentar evidências de sistemas ou softwares utilizados para a gestão e controle dessas políticas e procedimentos.</t>
  </si>
  <si>
    <t xml:space="preserve">AG-FCG-QPE-081</t>
  </si>
  <si>
    <t xml:space="preserve">ISO-13; ISO-15; ISO-31</t>
  </si>
  <si>
    <t xml:space="preserve">QPE-082</t>
  </si>
  <si>
    <t xml:space="preserve">9.2.4</t>
  </si>
  <si>
    <t xml:space="preserve">estão disponíveis em português e podem ser facilmente acessados pelos empregados da empresa?</t>
  </si>
  <si>
    <t xml:space="preserve">Informar tanto o link de acesso quanto o caminho da página inicial do site/intranet da empresa até o documento. No caso de colaboradores sem acesso à internet no local de trabalho, enviar vídeos, imagens etc. que comprovem a disponibilização do Código impresso nos ambientes físicos em que estes colaboradores atuam.</t>
  </si>
  <si>
    <t xml:space="preserve">AG-FCG-QPE-082</t>
  </si>
  <si>
    <t xml:space="preserve">QPE-085</t>
  </si>
  <si>
    <t xml:space="preserve">10.1.1</t>
  </si>
  <si>
    <t xml:space="preserve">A empresa possui políticas e procedimentos relacionados à sua participação em licitações e à celebração de contratos administrativos que: determinam o mapeamento prévio dos riscos para integridade existentes na sua participação em licitação e na celebração de contrato administrativo?</t>
  </si>
  <si>
    <t xml:space="preserve">Evidência que indique a seção e a página das políticas, regras, orientações ou procedimentos que: estabeleçam o mapeamento prévio dos riscos de integridade associados à participação em licitações e à formalização de contratos administrativo;</t>
  </si>
  <si>
    <t xml:space="preserve">AG-FCG-QPE-085</t>
  </si>
  <si>
    <t xml:space="preserve">QPE-086</t>
  </si>
  <si>
    <t xml:space="preserve">10.1.2</t>
  </si>
  <si>
    <t xml:space="preserve">A empresa possui políticas e procedimentos relacionados à sua participação em licitações e à celebração de contratos administrativos que: determinam a verificação prévia da capacidade da empresa de atender plenamente as condições exigidas para a licitação e para execução do contrato?</t>
  </si>
  <si>
    <t xml:space="preserve">Evidência que indique a seção e a página das políticas, regras, orientações ou procedimentos que: estabeleçam a verificação prévia da capacidade da empresa de atender às condições exigidas para a licitação e a execução do contrato administrativo;</t>
  </si>
  <si>
    <t xml:space="preserve">AG-FCG-QPE-086</t>
  </si>
  <si>
    <t xml:space="preserve">QPE-087</t>
  </si>
  <si>
    <t xml:space="preserve">10.1.3</t>
  </si>
  <si>
    <t xml:space="preserve">A empresa possui políticas e procedimentos relacionados à sua participação em licitações e à celebração de contratos administrativos que: determinam a transparência e disponibilização, em sua página eletrônica, de informações sobre sua participação em licitações e celebração de contratos administrativos?</t>
  </si>
  <si>
    <t xml:space="preserve">Evidência que indique a seção e a página das políticas, regras, orientações ou procedimentos que: tratam da transparência e da disponibilização de informações sobre participação em licitações e contratos administrativos no site da empresa;</t>
  </si>
  <si>
    <t xml:space="preserve">AG-FCG-QPE-087</t>
  </si>
  <si>
    <t xml:space="preserve">QPE-088</t>
  </si>
  <si>
    <t xml:space="preserve">10.2.1</t>
  </si>
  <si>
    <t xml:space="preserve">Em relação ao processo licitatório, a empresa, na condição de participante de licitações, possui políticas e procedimentos que: estabelecem orientações sobre a conduta esperada (o que é permitido/proibido) para os seus empregados?</t>
  </si>
  <si>
    <t xml:space="preserve">estabelecem diretrizes claras sobre a conduta esperada dos empregados, especificando ações permitidas e proibidas;</t>
  </si>
  <si>
    <t xml:space="preserve">AG-FCG-QPE-088</t>
  </si>
  <si>
    <t xml:space="preserve">QPE-089</t>
  </si>
  <si>
    <t xml:space="preserve">10.2.2</t>
  </si>
  <si>
    <t xml:space="preserve">Em relação ao processo licitatório, a empresa, na condição de participante de licitações, possui políticas e procedimentos que: estabelecem orientações sobre a conduta esperada (o que é permitido/proibido) para os terceiros que atuam em seu nome?</t>
  </si>
  <si>
    <t xml:space="preserve">estabelecem diretrizes claras sobre a conduta esperada dos terceiros que atuam em seu nome, especificando ações permitidas e proibidas;; POL-06 — Due Diligence de Terceiros</t>
  </si>
  <si>
    <t xml:space="preserve">AG-FCG-QPE-089</t>
  </si>
  <si>
    <t xml:space="preserve">QPE-090</t>
  </si>
  <si>
    <t xml:space="preserve">10.2.3</t>
  </si>
  <si>
    <t xml:space="preserve">Em relação ao processo licitatório, a empresa, na condição de participante de licitações, possui políticas e procedimentos que: indicam expressamente os responsáveis por autorizar a adoção de medidas relacionadas à participação em licitações?</t>
  </si>
  <si>
    <t xml:space="preserve">indicam expressamente os responsáveis pela autorização de medidas vinculadas à participação da empresa em licitações;</t>
  </si>
  <si>
    <t xml:space="preserve">AG-FCG-QPE-090</t>
  </si>
  <si>
    <t xml:space="preserve">QPE-091</t>
  </si>
  <si>
    <t xml:space="preserve">10.2.4</t>
  </si>
  <si>
    <t xml:space="preserve">Em relação ao processo licitatório, a empresa, na condição de participante de licitações, possui políticas e procedimentos que: proíbem expressamente a combinação de preços ou condições de proposta de licitação com concorrentes?</t>
  </si>
  <si>
    <t xml:space="preserve">proíbem expressamente a combinação de preços ou condições de proposta de licitação com concorrentes;</t>
  </si>
  <si>
    <t xml:space="preserve">AG-FCG-QPE-091</t>
  </si>
  <si>
    <t xml:space="preserve">QPE-092</t>
  </si>
  <si>
    <t xml:space="preserve">10.2.5</t>
  </si>
  <si>
    <t xml:space="preserve">orientam a relação da empresa com seus concorrentes, a fim de evitar práticas anticoncorrenciais que possibilitem fraude em processos licitatórios?</t>
  </si>
  <si>
    <t xml:space="preserve">estabelecem diretrizes para a relação da empresa com concorrentes, prevenindo práticas anticoncorrenciais e coibindo fraudes em processos licitatórios;</t>
  </si>
  <si>
    <t xml:space="preserve">AG-FCG-QPE-092</t>
  </si>
  <si>
    <t xml:space="preserve">QPE-094</t>
  </si>
  <si>
    <t xml:space="preserve">10.3.2</t>
  </si>
  <si>
    <t xml:space="preserve">Em relação à gestão e à execução do contrato administrativo, a empresa, na condição de contratada, possui políticas e procedimentos que: estabelecem orientações sobre a conduta esperada (o que é permitido/proibido) para os terceiros que atuam em seu nome?</t>
  </si>
  <si>
    <t xml:space="preserve">Evidência que indique a seção e a página das políticas, regras, orientações ou procedimentos que: estabelecem diretrizes claras sobre a conduta esperada dos terceiros que atuam em seu nome, especificando ações permitidas e proibidas;; POL-06 — Due Diligence de Terceiros</t>
  </si>
  <si>
    <t xml:space="preserve">AG-FCG-QPE-094</t>
  </si>
  <si>
    <t xml:space="preserve">QPE-095</t>
  </si>
  <si>
    <t xml:space="preserve">10.3.3</t>
  </si>
  <si>
    <t xml:space="preserve">Em relação à gestão e à execução do contrato administrativo, a empresa, na condição de contratada, possui políticas e procedimentos que: definem os responsáveis pela interação com os agentes públicos para tratar de questões relacionadas à gestão do contrato, como pagamento, alterações contratuais, aditivos e prorrogações?</t>
  </si>
  <si>
    <t xml:space="preserve">Evidência que indique a seção e a página das políticas, regras, orientações ou procedimentos que: estabelecem diretrizes que designam os responsáveis pela comunicação com agentes públicos sobre gestão contratual, incluindo pagamentos, ajustes, aditivos e prorrogações;; POL-05 — Relacionamento com o Setor Público | POL-07 — Compras e Pagamentos</t>
  </si>
  <si>
    <t xml:space="preserve">AG-FCG-QPE-095</t>
  </si>
  <si>
    <t xml:space="preserve">QPE-096</t>
  </si>
  <si>
    <t xml:space="preserve">10.3.4</t>
  </si>
  <si>
    <t xml:space="preserve">Em relação à gestão e à execução do contrato administrativo, a empresa, na condição de contratada, possui políticas e procedimentos que: preveem a rotatividade dos responsáveis por interagir com os agentes públicos durante a execução de contrato, a depender do prazo de vigência da contratação?</t>
  </si>
  <si>
    <t xml:space="preserve">Evidência que indique a seção e a página das políticas, regras, orientações ou procedimentos que: estabelecem a alternância dos responsáveis pela comunicação com agentes públicos ao longo da execução do contrato, considerando seu prazo de vigência;; POL-05 — Relacionamento com o Setor Público</t>
  </si>
  <si>
    <t xml:space="preserve">AG-FCG-QPE-096</t>
  </si>
  <si>
    <t xml:space="preserve">QPE-097</t>
  </si>
  <si>
    <t xml:space="preserve">10.3.5</t>
  </si>
  <si>
    <t xml:space="preserve">Em relação à gestão e à execução do contrato administrativo, a empresa, na condição de contratada, possui políticas e procedimentos que: estabelecem as alçadas internas relacionadas à gestão do contrato a depender da complexidade ou do risco da questão a ser tratada?</t>
  </si>
  <si>
    <t xml:space="preserve">Evidência que indique a seção e a página das políticas, regras, orientações ou procedimentos que: determinam as alçadas internas na gestão contratual, ajustando níveis de decisão conforme a complexidade ou o risco envolvido;</t>
  </si>
  <si>
    <t xml:space="preserve">AG-FCG-QPE-097</t>
  </si>
  <si>
    <t xml:space="preserve">QPE-098</t>
  </si>
  <si>
    <t xml:space="preserve">10.3.6</t>
  </si>
  <si>
    <t xml:space="preserve">Em relação à gestão e à execução do contrato administrativo, a empresa, na condição de contratada, possui políticas e procedimentos que: preveem a necessidade de reavaliação periódica dos riscos da contratação, a depender do prazo de vigência do contrato?</t>
  </si>
  <si>
    <t xml:space="preserve">Evidência que indique a seção e a página das políticas, regras, orientações ou procedimentos que: preveem a necessidade de reavaliação periódica dos riscos da contratação, a depender do prazo de vigência do contrato?</t>
  </si>
  <si>
    <t xml:space="preserve">AG-FCG-QPE-098</t>
  </si>
  <si>
    <t xml:space="preserve">QPE-099</t>
  </si>
  <si>
    <t xml:space="preserve">10.4</t>
  </si>
  <si>
    <t xml:space="preserve">A empresa aplicou, no período avaliado, as políticas e procedimentos adotados para prevenção de ilícitos em licitações e contratos administrativos, na condição de participante de licitações e de contratada?</t>
  </si>
  <si>
    <t xml:space="preserve">Exemplos de processos reais contendo: matriz de riscos, atas de reuniões, aprovações, e-mails e documentos da alta direção que comprovem a aplicação das políticas de prevenção a ilícitos em licitações e contratos administrativos, incluindo ações implementadas e resultados para empregados e terceiros.; POL-06 — Due Diligence de Terceiros</t>
  </si>
  <si>
    <t xml:space="preserve">AG-FCG-QPE-099</t>
  </si>
  <si>
    <t xml:space="preserve">ISO-30; ISO-34</t>
  </si>
  <si>
    <t xml:space="preserve">QPE-100</t>
  </si>
  <si>
    <t xml:space="preserve">A empresa possui um planejamento para realização de treinamentos relacionados ao programa de integridade contendo: cronograma de realização dos treinamentos?</t>
  </si>
  <si>
    <t xml:space="preserve">Documento formal em que conste o planejamento das atividades de treinamentos relacionadas à integridade para determinado período (anual, geralmente). O documento deve elencar: o cronograma previsto para a realização dos treinamentos</t>
  </si>
  <si>
    <t xml:space="preserve">AG-FCG-QPE-100</t>
  </si>
  <si>
    <t xml:space="preserve">QPE-101</t>
  </si>
  <si>
    <t xml:space="preserve">A empresa possui um planejamento para realização de treinamentos relacionados ao programa de integridade contendo: a identificação da área ou pessoa responsável pela execução e supervisão dos treinamentos?</t>
  </si>
  <si>
    <t xml:space="preserve">Documento formal em que conste o planejamento das atividades de treinamentos relacionadas à integridade para determinado período (anual, geralmente). O documento deve elencar: a área ou responsável designado para a execução e supervisão dos treinamentos;</t>
  </si>
  <si>
    <t xml:space="preserve">AG-FCG-QPE-101</t>
  </si>
  <si>
    <t xml:space="preserve">QPE-102</t>
  </si>
  <si>
    <t xml:space="preserve">11.1.3</t>
  </si>
  <si>
    <t xml:space="preserve">A empresa possui um planejamento para realização de treinamentos relacionados ao programa de integridade contendo: os temas e as modalidades de realização dos treinamentos?</t>
  </si>
  <si>
    <t xml:space="preserve">Documento formal em que conste o planejamento das atividades de treinamentos relacionadas à integridade para determinado período (anual, geralmente). O documento deve elencar: os temas (assuntos abordados) e a modalidade (presencial, on- line, híbrido) de realização dos treinamentos;</t>
  </si>
  <si>
    <t xml:space="preserve">AG-FCG-QPE-102</t>
  </si>
  <si>
    <t xml:space="preserve">QPE-104</t>
  </si>
  <si>
    <t xml:space="preserve">11.1.5</t>
  </si>
  <si>
    <t xml:space="preserve">A empresa possui um planejamento para realização de treinamentos relacionados ao programa de integridade contendo: os controles que serão utilizados para verificar a participação dos públicos-alvo?</t>
  </si>
  <si>
    <t xml:space="preserve">Documento formal em que conste o planejamento das atividades de treinamentos relacionadas à integridade para determinado período (anual, geralmente). O documento deve elencar: os mecanismos de controle utilizados para registar e verificar a participação dos públicos-alvo;</t>
  </si>
  <si>
    <t xml:space="preserve">AG-FCG-QPE-104</t>
  </si>
  <si>
    <t xml:space="preserve">QPE-105</t>
  </si>
  <si>
    <t xml:space="preserve">11.1.6</t>
  </si>
  <si>
    <t xml:space="preserve">A empresa possui um planejamento para realização de treinamentos relacionados ao programa de integridade contendo: os objetivos e metas relativos à realização dos treinamentos?</t>
  </si>
  <si>
    <t xml:space="preserve">Documento formal em que conste o planejamento das atividades de treinamentos relacionadas à integridade para determinado período (anual, geralmente). O documento deve elencar: Os objetivos e metas relativos à realização dos treinamentos.</t>
  </si>
  <si>
    <t xml:space="preserve">AG-FCG-QPE-105</t>
  </si>
  <si>
    <t xml:space="preserve">QPE-106</t>
  </si>
  <si>
    <t xml:space="preserve">A instância interna responsável pelo programa de integridade participa do planejamento, da elaboração, da aplicação ou da contratação dos treinamentos sobre temas de integridade?</t>
  </si>
  <si>
    <t xml:space="preserve">Documentos, atas de reuniões, estudos, relatórios, ou planos assinados, que demonstrem que a instância interna responsável pelo programa de integridade participa do planejamento, elaboração, aplicação e/ou contratação dos treinamentos sobre temas de integridade.</t>
  </si>
  <si>
    <t xml:space="preserve">AG-FCG-QPE-106</t>
  </si>
  <si>
    <t xml:space="preserve">QPE-108</t>
  </si>
  <si>
    <t xml:space="preserve">11.3.2</t>
  </si>
  <si>
    <t xml:space="preserve">No período avaliado, a empresa realizou treinamentos: direcionados a todos os empregados, abordando temas relacionados com o combate ao preconceito, à discriminação e ao assédio de qualquer natureza?</t>
  </si>
  <si>
    <t xml:space="preserve">Listas de presenças acompanhadas de materiais de estudo, links de acesso a treinamentos online ou registros de frequência e participação que demonstrem: o treinamento geral dos colaboradores abordando temas relacionados com o combate ao preconceito, à discriminação e ao assédio de qualquer natureza;</t>
  </si>
  <si>
    <t xml:space="preserve">AG-FCG-QPE-108</t>
  </si>
  <si>
    <t xml:space="preserve">QPE-109</t>
  </si>
  <si>
    <t xml:space="preserve">11.3.3</t>
  </si>
  <si>
    <t xml:space="preserve">No período avaliado, a empresa realizou treinamentos: direcionados a todos os empregados, abordando temas relacionados ao meio ambiente e mudanças climáticas?</t>
  </si>
  <si>
    <t xml:space="preserve">Listas de presenças acompanhadas de materiais de estudo, links de acesso a treinamentos online ou registros de frequência e participação que demonstrem: o treinamento geral dos colaboradores, ao meio ambiente e mudanças climáticas;</t>
  </si>
  <si>
    <t xml:space="preserve">AG-FCG-QPE-109</t>
  </si>
  <si>
    <t xml:space="preserve">QPE-110</t>
  </si>
  <si>
    <t xml:space="preserve">11.3.4</t>
  </si>
  <si>
    <t xml:space="preserve">No período avaliado, a empresa realizou treinamentos: direcionados a públicos específicos, abordando conteúdo alinhado aos principais riscos daqueles públicos, como políticas de doação e patrocínio, política de licitação e contratos administrativos, controles contábeis e financeiros, realização de diligências para contratação e supervisão de terceiros?</t>
  </si>
  <si>
    <t xml:space="preserve">Listas de presenças acompanhadas de materiais de estudo, links de acesso a treinamentos online ou registros de frequência e participação que demonstrem: o treinamento de públicos expostos a riscos específicos, que demonstrem treinamento direcionado a públicos expostos a riscos específicos, com temas relevantes para cada área, como licitações, controles financeiros e diligências em contratações;; POL-04 — Doações, Patrocínios e Contribuições | POL-06 — Due Diligence de Terceiros | POL-08 — Registros Contábeis</t>
  </si>
  <si>
    <t xml:space="preserve">AG-FCG-QPE-110</t>
  </si>
  <si>
    <t xml:space="preserve">QPE-111</t>
  </si>
  <si>
    <t xml:space="preserve">11.3.5</t>
  </si>
  <si>
    <t xml:space="preserve">No período avaliado, a empresa realizou treinamentos: direcionados aos membros da alta direção, abordando conteúdo compatível com os papéis das lideranças em relação ao programa de integridade?</t>
  </si>
  <si>
    <t xml:space="preserve">Listas de presenças acompanhadas de materiais de estudo, links de acesso a treinamentos online ou registros de frequência e participação que demonstrem: o treinamento a membros da alta direção com listas de presença (identificando claramente o nome e o cargo), materiais de estudo ou registros de frequência, que abordando suas responsabilidades e o papel estratégico no programa de integridade.</t>
  </si>
  <si>
    <t xml:space="preserve">AG-FCG-QPE-111</t>
  </si>
  <si>
    <t xml:space="preserve">QPE-113</t>
  </si>
  <si>
    <t xml:space="preserve">11.4.1</t>
  </si>
  <si>
    <t xml:space="preserve">Os treinamentos realizados no período avaliado: contaram com a utilização de controles para verificar a participação dos públicos-alvo?</t>
  </si>
  <si>
    <t xml:space="preserve">Relatórios, listas de presença, registros em sistemas etc. que permitam controlar a participação dos públicos-alvo dos treinamentos.</t>
  </si>
  <si>
    <t xml:space="preserve">AG-FCG-QPE-113</t>
  </si>
  <si>
    <t xml:space="preserve">ISO-26; ISO-45</t>
  </si>
  <si>
    <t xml:space="preserve">QPE-115</t>
  </si>
  <si>
    <t xml:space="preserve">11.4.3</t>
  </si>
  <si>
    <t xml:space="preserve">Os treinamentos realizados no período avaliado: foram realizados de forma periódica? Relatórios ou outros registros históricos que demonstrem a frequência dos treinamentos realizados.</t>
  </si>
  <si>
    <t xml:space="preserve">Relatórios ou outros registros históricos que demonstrem a frequência dos treinamentos realizados.</t>
  </si>
  <si>
    <t xml:space="preserve">AG-FCG-QPE-115</t>
  </si>
  <si>
    <t xml:space="preserve">QPE-116</t>
  </si>
  <si>
    <t xml:space="preserve">11.4.4</t>
  </si>
  <si>
    <t xml:space="preserve">Os treinamentos realizados no período avaliado: contaram com a utilização de mecanismos, como testes e simulações, para verificar a retenção e a compreensão dos conteúdos abordados?</t>
  </si>
  <si>
    <t xml:space="preserve">Relatórios ou registros de treinamentos, que demonstrem a aplicação de testes, simulações ou outros métodos para medir a assimilação e compreensão dos conteúdos ministrados. Não serão aceitas pesquisas de satisfação.</t>
  </si>
  <si>
    <t xml:space="preserve">AG-FCG-QPE-116</t>
  </si>
  <si>
    <t xml:space="preserve">QPE-117</t>
  </si>
  <si>
    <t xml:space="preserve">11.5</t>
  </si>
  <si>
    <t xml:space="preserve">A empresa realizou treinamentos específicos como parte das medidas de mitigação dos riscos identificados?</t>
  </si>
  <si>
    <t xml:space="preserve">Documentos que comprovem que os treinamentos são ações de mitigação dos riscos identificados, acompanhadas de listas de presença, conteúdos ministrados e planos de ação voltados ao tratamento desses riscos.</t>
  </si>
  <si>
    <t xml:space="preserve">AG-FCG-QPE-117</t>
  </si>
  <si>
    <t xml:space="preserve">ISO-17; ISO-26</t>
  </si>
  <si>
    <t xml:space="preserve">QPE-118</t>
  </si>
  <si>
    <t xml:space="preserve">A empresa possui um planejamento para realização de ações de comunicação relacionadas ao programa de integridade contendo: cronograma de realização das ações de comunicação?</t>
  </si>
  <si>
    <t xml:space="preserve">Documentos formalmente aprovados delimitando as atribuições da área responsável pelo planejamento das ações de comunicação sobre temas de ética e integridade para o período avaliado, detalhando o cronograma de implementação dessas iniciativas;</t>
  </si>
  <si>
    <t xml:space="preserve">AG-FCG-QPE-118</t>
  </si>
  <si>
    <t xml:space="preserve">QPE-119</t>
  </si>
  <si>
    <t xml:space="preserve">A empresa possui um planejamento para realização de ações de comunicação relacionadas ao programa de integridade contendo: a identificação da área ou pessoa responsável pela execução e supervisão dessas atividades?</t>
  </si>
  <si>
    <t xml:space="preserve">Documentos formalmente aprovados que estabeleçam as responsabilidades da área encarregada da comunicação sobre ética e integridade, acompanhados de atas de reuniões e registros das interações entre setores, para o período avaliado.</t>
  </si>
  <si>
    <t xml:space="preserve">AG-FCG-QPE-119</t>
  </si>
  <si>
    <t xml:space="preserve">QPE-120</t>
  </si>
  <si>
    <t xml:space="preserve">12.1.3</t>
  </si>
  <si>
    <t xml:space="preserve">A empresa possui um planejamento para realização de ações de comunicação relacionadas ao programa de integridade contendo: a definição dos públicos-alvo, com identificação da forma e do conteúdo das ações de comunicação?</t>
  </si>
  <si>
    <t xml:space="preserve">Documentos que estabeleçam: − áreas responsáveis pela execução e supervisão das ações de comunicação; − os temas a serem trabalhados, levando-se em consideração os riscos da empresa; − os públicos-alvo, os assuntos relevantes e os meios mais adequados para atingir cada um deles; − periodicidade das ações; e − objetivos e metas das ações.</t>
  </si>
  <si>
    <t xml:space="preserve">AG-FCG-QPE-120</t>
  </si>
  <si>
    <t xml:space="preserve">QPE-121</t>
  </si>
  <si>
    <t xml:space="preserve">A instância interna responsável pelo programa de integridade participa do planejamento, elaboração, aplicação e/ou contratação das ações de comunicação sobre temas de integridade?</t>
  </si>
  <si>
    <t xml:space="preserve">Documentos como atas de reuniões, regimentos, políticas ou planos aprovados, que demonstrem o envolvimento da instância interna responsável pelo programa de integridade no planejamento, desenvolvimento e implementação das ações de comunicação sobre integridade, para o período avaliado.</t>
  </si>
  <si>
    <t xml:space="preserve">AG-FCG-QPE-121</t>
  </si>
  <si>
    <t xml:space="preserve">QPE-126</t>
  </si>
  <si>
    <t xml:space="preserve">12.3.5</t>
  </si>
  <si>
    <t xml:space="preserve">As ações de comunicação realizadas pela empresa no período avaliado: buscaram fomentar o desenvolvimento de uma cultura de integridade no ambiente organizacional? (questão direcionada ao avaliador)</t>
  </si>
  <si>
    <t xml:space="preserve">Comunicações internas veiculando o conteúdo dos documentos relacionados ao programa de integridade, assegurando a identificação dos destinatários, tais como: e-mails, vídeos, cartazes, folders, links do site ou printscreen de página da intranet onde os documentos relacionados ao programa de integridade podem ser acessados, que:</t>
  </si>
  <si>
    <t xml:space="preserve">AG-FCG-QPE-126</t>
  </si>
  <si>
    <t xml:space="preserve">ISO-10; ISO-28</t>
  </si>
  <si>
    <t xml:space="preserve">QPE-127</t>
  </si>
  <si>
    <t xml:space="preserve">12.3.6</t>
  </si>
  <si>
    <t xml:space="preserve">As ações de comunicação realizadas pela empresa no período avaliado: foram realizadas de forma periódica e contínua?</t>
  </si>
  <si>
    <t xml:space="preserve">Demonstrar que as comunicações são contínuas/periódicas, isto é, que estão presentes no dia a dia da organização; que são renovadas e reforçadas para fomentar uma cultura íntegra no ambiente organizacional; que são adaptadas ao contexto do mercado e à legislação anticorrupção; e que são frequentes durante todo o período avaliado (não apenas sazonais).</t>
  </si>
  <si>
    <t xml:space="preserve">AG-FCG-QPE-127</t>
  </si>
  <si>
    <t xml:space="preserve">QPE-129</t>
  </si>
  <si>
    <t xml:space="preserve">12.4.1</t>
  </si>
  <si>
    <t xml:space="preserve">Como forma de comunicar seu compromisso com a ética e a integridade, a empresa divulga para o público externo: manifestações institucionais claras do seu compromisso com a ética e a integridade?</t>
  </si>
  <si>
    <t xml:space="preserve">Mensagens institucionais promovendo o comportamento ético e demonstrando o compromisso da empresa com a prevenção e o combate à corrupção (página eletrônica, mídias digitais, e-mails, comunicações em jornais internos, intranet, atas de reunião). Demonstrar que a empresa se manifesta de forma clara - comunicação assertiva, direta, objetiva e com exatidão que não deixe</t>
  </si>
  <si>
    <t xml:space="preserve">AG-FCG-QPE-129</t>
  </si>
  <si>
    <t xml:space="preserve">QPE-130</t>
  </si>
  <si>
    <t xml:space="preserve">12.4.2</t>
  </si>
  <si>
    <t xml:space="preserve">Como forma de comunicar seu compromisso com a ética e a integridade, a empresa divulga para o público externo: as principais políticas e informações sobre o programa de integridade?</t>
  </si>
  <si>
    <t xml:space="preserve">Prints de tela da intranet da empresa contendo as políticas da empresa relativas à integridade, em língua portuguesa. Tratando-se de rede interna, a empresa deve afirmar, expressamente, o seu acesso pelo público externo alvo da divulgação, juntando evidências que o comprovem. Links da Internet contendo as principais políticas da empresa e informações relativas à integridade, em língua portuguesa.</t>
  </si>
  <si>
    <t xml:space="preserve">AG-FCG-QPE-130</t>
  </si>
  <si>
    <t xml:space="preserve">QPE-131</t>
  </si>
  <si>
    <t xml:space="preserve">A empresa avaliou o impacto concreto dos treinamentos e/ou das ações de comunicação? Se sim, esclarecer como foi feito.</t>
  </si>
  <si>
    <t xml:space="preserve">Exemplos de processos reais de avaliação do impacto dos treinamentos e ações de comunicação planejados, como pesquisas internas, relatórios ou atas de reuniões, comparação de dados históricos de denúncias, pesquisas de satisfação, aplicação de medidas disciplinares, que mostrem a mudança comportamental dos empregados, com foco na cultura organizacional. Não serão considerados testes de retenção apresentados isoladamente.</t>
  </si>
  <si>
    <t xml:space="preserve">AG-FCG-QPE-131</t>
  </si>
  <si>
    <t xml:space="preserve">ISO-26; ISO-42; ISO-50</t>
  </si>
  <si>
    <t xml:space="preserve">QPE-136</t>
  </si>
  <si>
    <t xml:space="preserve">14.5</t>
  </si>
  <si>
    <t xml:space="preserve">A empresa possui regras que exigem a verificação do cumprimento do objeto do contrato para realização do pagamento? Se sim, apresentar documentos que deixem claro que a verificação do cumprimento do objeto contratual é uma etapa prévia e condicionante ao pagamento.</t>
  </si>
  <si>
    <t xml:space="preserve">Normas ou documentos formais que estabeleçam mecanismos e controles para verificação do cumprimento do objeto do contrato para realização do pagamento. Prints de sistemas em que constem regras de verificação do cumprimento do objeto do contrato para realização do pagamento.</t>
  </si>
  <si>
    <t xml:space="preserve">AG-FCG-QPE-136</t>
  </si>
  <si>
    <t xml:space="preserve">QPE-138</t>
  </si>
  <si>
    <t xml:space="preserve">A auditoria interna reporta-se diretamente à alta direção, de modo que lhe permita cumprir com suas responsabilidades de forma independente?</t>
  </si>
  <si>
    <t xml:space="preserve">Documento (regimento interno, estatuto social, organograma) formalmente aprovado que estabeleça o nível de reporte da auditoria interna à alta direção, incluindo auditoria interna terceirizada.</t>
  </si>
  <si>
    <t xml:space="preserve">AG-FCG-QPE-138</t>
  </si>
  <si>
    <t xml:space="preserve">QPE-139</t>
  </si>
  <si>
    <t xml:space="preserve">15.3</t>
  </si>
  <si>
    <t xml:space="preserve">A alta direção aprova o escopo dos trabalhos e os relatórios produzidos pela auditoria interna?</t>
  </si>
  <si>
    <t xml:space="preserve">Documento (regimento interno, estatuto social, organograma) formalmente aprovado que estabeleça a necessidade de aprovação do escopo dos trabalhos e dos relatórios da auditoria interna, incluindo terceirizada. Contratos vigentes com empresas terceirizadas de auditoria interna que estabeleçam a alta direção como instância de aprovação do escopo de trabalho e dos relatórios da auditoria produzidos.</t>
  </si>
  <si>
    <t xml:space="preserve">AG-FCG-QPE-139</t>
  </si>
  <si>
    <t xml:space="preserve">QPE-140</t>
  </si>
  <si>
    <t xml:space="preserve">15.4</t>
  </si>
  <si>
    <t xml:space="preserve">Os auditores internos passaram, no período avaliado, por treinamentos cujo conteúdo esteja diretamente relacionado às atividades de auditoria interna?</t>
  </si>
  <si>
    <t xml:space="preserve">Documentos que comprovem a qualificação ou realização de treinamentos relacionados às atribuições de auditoria interna para os empregados desta área (listas de presença acompanhadas de material, fotos, vídeos, certificados etc.); Contratos vigentes com empresas terceirizadas de auditoria interna, contendo cláusula que determine a qualificação e capacitação periódica da equipe de auditores encarregada dos trabalhos.</t>
  </si>
  <si>
    <t xml:space="preserve">AG-FCG-QPE-140</t>
  </si>
  <si>
    <t xml:space="preserve">ISO-21; ISO-46</t>
  </si>
  <si>
    <t xml:space="preserve">QPE-141</t>
  </si>
  <si>
    <t xml:space="preserve">15.5</t>
  </si>
  <si>
    <t xml:space="preserve">São produzidos relatórios periódicos de auditoria interna?</t>
  </si>
  <si>
    <t xml:space="preserve">Disponibilizar, pelo menos, dois relatórios de auditoria interna produzidos nos últimos 3 (três) anos.</t>
  </si>
  <si>
    <t xml:space="preserve">AG-FCG-QPE-141</t>
  </si>
  <si>
    <t xml:space="preserve">QPE-142</t>
  </si>
  <si>
    <t xml:space="preserve">15.6</t>
  </si>
  <si>
    <t xml:space="preserve">A empresa corrige em tempo hábil as eventuais não conformidades apresentadas nos relatórios de auditoria interna?</t>
  </si>
  <si>
    <t xml:space="preserve">Tratamento das não conformidades apontadas no(s) relatório(s) de auditoria interna apresentado(s) no item 15.5, em que se constate, entre outros, o seu tempo médio de correção (print de sistemas, apresentações da área de auditoria interna, relatórios, atas de reuniões, plano de ação etc.).</t>
  </si>
  <si>
    <t xml:space="preserve">AG-FCG-QPE-142</t>
  </si>
  <si>
    <t xml:space="preserve">ISO-46; ISO-51</t>
  </si>
  <si>
    <t xml:space="preserve">QPE-143</t>
  </si>
  <si>
    <t xml:space="preserve">16.1.1</t>
  </si>
  <si>
    <t xml:space="preserve">Em relação à realização de diligências para contratação e supervisão de terceiros, a empresa possui políticas e procedimentos que determinam a verificação de possível envolvimento do terceiro em casos de corrupção e práticas de fraude contra a Administração Pública?</t>
  </si>
  <si>
    <t xml:space="preserve">AG-FCG-QPE-143</t>
  </si>
  <si>
    <t xml:space="preserve">QPE-145</t>
  </si>
  <si>
    <t xml:space="preserve">16.1.3</t>
  </si>
  <si>
    <t xml:space="preserve">Em relação à realização de diligências para contratação e supervisão de terceiros, a empresa possui políticas e procedimentos que: determinam a verificação de possível envolvimento do terceiro em crimes ambientais ou em práticas nocivas ao meio ambiente?</t>
  </si>
  <si>
    <t xml:space="preserve">AG-FCG-QPE-145</t>
  </si>
  <si>
    <t xml:space="preserve">QPE-146</t>
  </si>
  <si>
    <t xml:space="preserve">16.1.4</t>
  </si>
  <si>
    <t xml:space="preserve">Em relação à realização de diligências para contratação e supervisão de terceiros, a empresa possui políticas e procedimentos que: determinam a verificação de existência de pessoas expostas politicamente, bem como de seus familiares, estreitos colaboradores e pessoas jurídicas de que participem, na contratação?</t>
  </si>
  <si>
    <t xml:space="preserve">AG-FCG-QPE-146</t>
  </si>
  <si>
    <t xml:space="preserve">QPE-148</t>
  </si>
  <si>
    <t xml:space="preserve">16.1.6</t>
  </si>
  <si>
    <t xml:space="preserve">Em relação à realização de diligências para contratação e supervisão de terceiros, a empresa possui políticas e procedimentos que: preveem a classificação dos contratos e/ou dos contratados por categoria de risco?</t>
  </si>
  <si>
    <t xml:space="preserve">AG-FCG-QPE-148</t>
  </si>
  <si>
    <t xml:space="preserve">QPE-149</t>
  </si>
  <si>
    <t xml:space="preserve">16.1.7</t>
  </si>
  <si>
    <t xml:space="preserve">Em relação à realização de diligências para contratação e supervisão de terceiros, a empresa possui políticas e procedimentos que: preveem a realização de diligências aprofundadas de integridade em relação aos terceiros para celebração de parcerias, como consórcios, associações, joint ventures e sociedades de propósito específico?</t>
  </si>
  <si>
    <t xml:space="preserve">AG-FCG-QPE-149</t>
  </si>
  <si>
    <t xml:space="preserve">QPE-150</t>
  </si>
  <si>
    <t xml:space="preserve">16.1.8</t>
  </si>
  <si>
    <t xml:space="preserve">Em relação à realização de diligências para contratação e supervisão de terceiros, a empresa possui políticas e procedimentos que: indicam como as informações obtidas nas diligências sobre prévio envolvimento com corrupção/risco de corrupção deverão impactar na contratação ou não do terceiro?</t>
  </si>
  <si>
    <t xml:space="preserve">AG-FCG-QPE-150</t>
  </si>
  <si>
    <t xml:space="preserve">ISO-38</t>
  </si>
  <si>
    <t xml:space="preserve">QPE-151</t>
  </si>
  <si>
    <t xml:space="preserve">16.1.9</t>
  </si>
  <si>
    <t xml:space="preserve">Em relação à realização de diligências para contratação e supervisão de terceiros, a empresa possui políticas e procedimentos que: estabelecem a necessidade de adoção de medidas para minimizar o risco da contratação de terceiro, caso o resultado das diligências realizadas indique alto risco de integridade na contratação?</t>
  </si>
  <si>
    <t xml:space="preserve">AG-FCG-QPE-151</t>
  </si>
  <si>
    <t xml:space="preserve">QPE-153</t>
  </si>
  <si>
    <t xml:space="preserve">16.1.11</t>
  </si>
  <si>
    <t xml:space="preserve">Em relação à realização de diligências para contratação e supervisão de terceiros, a empresa possui políticas e procedimentos que: indicam a forma e a periodicidade de supervisão de terceiros após a contratação, incluindo reavaliações periódicas, sobretudo daqueles considerados de alto risco?</t>
  </si>
  <si>
    <t xml:space="preserve">AG-FCG-QPE-153</t>
  </si>
  <si>
    <t xml:space="preserve">QPE-154</t>
  </si>
  <si>
    <t xml:space="preserve">16.1.12</t>
  </si>
  <si>
    <t xml:space="preserve">Em relação à realização de diligências para contratação e supervisão de terceiros, a empresa possui políticas e procedimentos que: fazem referência à obrigatoriedade de realização de consultas a bancos de dados governamentais, como o CEIS, o CNEP e o CEPIM?</t>
  </si>
  <si>
    <t xml:space="preserve">AG-FCG-QPE-154</t>
  </si>
  <si>
    <t xml:space="preserve">QPE-155</t>
  </si>
  <si>
    <t xml:space="preserve">As diligências indicadas no item 16.1 são aplicáveis previamente à realização de patrocínios e em sua supervisão?</t>
  </si>
  <si>
    <t xml:space="preserve">Documentos que demonstrem avaliação prévia à realização de patrocínios, bem como a respectiva supervisão/prestação de contas.</t>
  </si>
  <si>
    <t xml:space="preserve">AG-FCG-QPE-155</t>
  </si>
  <si>
    <t xml:space="preserve">ISO-32; ISO-37</t>
  </si>
  <si>
    <t xml:space="preserve">QPE-156</t>
  </si>
  <si>
    <t xml:space="preserve">16.3</t>
  </si>
  <si>
    <t xml:space="preserve">As diligências indicadas no item 16.1 são aplicáveis previamente à realização de doações e em sua supervisão?</t>
  </si>
  <si>
    <t xml:space="preserve">Documentos que demonstrem avaliação prévia à realização de doações, bem como a respectiva supervisão/prestação de contas.</t>
  </si>
  <si>
    <t xml:space="preserve">AG-FCG-QPE-156</t>
  </si>
  <si>
    <t xml:space="preserve">QPE-157</t>
  </si>
  <si>
    <t xml:space="preserve">16.4</t>
  </si>
  <si>
    <t xml:space="preserve">Há segregação de função entre aqueles que realizam as diligências e os responsáveis por solicitar e autorizar a contratação?</t>
  </si>
  <si>
    <t xml:space="preserve">Política, regra, procedimento, e-mails, telas de sistema etc. que estabeleça a área responsável pelas verificações prévias de contratação e o fluxo de solicitação e aprovação da contratação após as verificações.</t>
  </si>
  <si>
    <t xml:space="preserve">AG-FCG-QPE-157</t>
  </si>
  <si>
    <t xml:space="preserve">QPE-158</t>
  </si>
  <si>
    <t xml:space="preserve">16.5</t>
  </si>
  <si>
    <t xml:space="preserve">A instância interna responsável pelo programa de integridade participa da realização e/ou supervisão das diligências? Se sim, descrever como ocorre essa participação.</t>
  </si>
  <si>
    <t xml:space="preserve">Documentos (política, atas de reuniões, relatórios de acompanhamento, relatórios de supervisão) que demonstrem que a área de integridade participa da realização e/ou supervisão das diligências.</t>
  </si>
  <si>
    <t xml:space="preserve">AG-FCG-QPE-158</t>
  </si>
  <si>
    <t xml:space="preserve">QPE-162</t>
  </si>
  <si>
    <t xml:space="preserve">A cláusula anticorrupção apresentada está adaptada à legislação brasileira?</t>
  </si>
  <si>
    <t xml:space="preserve">AG-FCG-QPE-162</t>
  </si>
  <si>
    <t xml:space="preserve">QPE-165</t>
  </si>
  <si>
    <t xml:space="preserve">18.1.2</t>
  </si>
  <si>
    <t xml:space="preserve">A empresa possui políticas e procedimentos específicos para a realização de fusões, aquisições ou outras operações societárias que: preveem a realização de diligências para verificar histórico de prática de atos de corrupção e fraude dos sócios e dos principais executivos das empresas envolvidas nas operações?</t>
  </si>
  <si>
    <t xml:space="preserve">AG-FCG-QPE-165</t>
  </si>
  <si>
    <t xml:space="preserve">QPE-166</t>
  </si>
  <si>
    <t xml:space="preserve">18.1.3</t>
  </si>
  <si>
    <t xml:space="preserve">A empresa possui políticas e procedimentos específicos para a realização de fusões, aquisições ou outras operações societárias que: definem previamente as medidas a serem adotadas caso o resultado das diligências indique a presença de histórico de prática de atos de corrupção e fraude pela empresa envolvida na operação, pelos seus sócios e/ou principais executivos?</t>
  </si>
  <si>
    <t xml:space="preserve">AG-FCG-QPE-166</t>
  </si>
  <si>
    <t xml:space="preserve">ISO-34; ISO-38</t>
  </si>
  <si>
    <t xml:space="preserve">QPE-167</t>
  </si>
  <si>
    <t xml:space="preserve">18.1.4</t>
  </si>
  <si>
    <t xml:space="preserve">A empresa possui políticas e procedimentos específicos para a realização de fusões, aquisições ou outras operações societárias que: determinam a participação da instância interna responsável pelo programa de integridade na tomada de decisão sobre realização ou não da operação?</t>
  </si>
  <si>
    <t xml:space="preserve">AG-FCG-QPE-167</t>
  </si>
  <si>
    <t xml:space="preserve">QPE-172</t>
  </si>
  <si>
    <t xml:space="preserve">Os canais de denúncias da empresa: indicam expressamente a possibilidade de serem utilizados para realização de denúncias relacionadas a atos de corrupção, fraude e demais irregularidades previstas na Lei n. 12.846/2013?</t>
  </si>
  <si>
    <t xml:space="preserve">AG-FCG-QPE-172</t>
  </si>
  <si>
    <t xml:space="preserve">QPE-173</t>
  </si>
  <si>
    <t xml:space="preserve">Os canais de denúncias da empresa: indicam expressamente a possibilidade de serem utilizados para realização de denúncias relacionadas com violações aos direitos humanos?</t>
  </si>
  <si>
    <t xml:space="preserve">AG-FCG-QPE-173</t>
  </si>
  <si>
    <t xml:space="preserve">QPE-174</t>
  </si>
  <si>
    <t xml:space="preserve">Os canais de denúncias da empresa: indicam expressamente a possibilidade de serem utilizados para realização de denúncias relacionadas à degradação do meio ambiente impactado pelas atividades da empresa?</t>
  </si>
  <si>
    <t xml:space="preserve">AG-FCG-QPE-174</t>
  </si>
  <si>
    <t xml:space="preserve">QPE-177</t>
  </si>
  <si>
    <t xml:space="preserve">19.3</t>
  </si>
  <si>
    <t xml:space="preserve">O canal de denúncia disponível na página eletrônica da empresa (ou outro canal disponível) funcionou quando testado pelo avaliador? (questão direcionada ao avaliador)</t>
  </si>
  <si>
    <t xml:space="preserve">AG-FCG-QPE-177</t>
  </si>
  <si>
    <t xml:space="preserve">QPE-180</t>
  </si>
  <si>
    <t xml:space="preserve">20.1.2</t>
  </si>
  <si>
    <t xml:space="preserve">A empresa possui políticas e procedimentos que: estabelecem fluxo específico para denúncias envolvendo membros da alta direção? Se sim, esclarecer se esse fluxo já foi aplicado, bem como prestar informações sobre o caso.</t>
  </si>
  <si>
    <t xml:space="preserve">Normativos que assegurem a forma de apuração das denúncias no caso de envolvimento de membros da alta administração ou de setores sensíveis da empresa;</t>
  </si>
  <si>
    <t xml:space="preserve">AG-FCG-QPE-180</t>
  </si>
  <si>
    <t xml:space="preserve">QPE-181</t>
  </si>
  <si>
    <t xml:space="preserve">20.1.3</t>
  </si>
  <si>
    <t xml:space="preserve">A empresa possui políticas e procedimentos que: indicam claramente os responsáveis por cada etapa do processo dentro do fluxo de apuração da denúncia?</t>
  </si>
  <si>
    <t xml:space="preserve">AG-FCG-QPE-181</t>
  </si>
  <si>
    <t xml:space="preserve">ISO-13; ISO-40</t>
  </si>
  <si>
    <t xml:space="preserve">QPE-182</t>
  </si>
  <si>
    <t xml:space="preserve">20.1.4</t>
  </si>
  <si>
    <t xml:space="preserve">A empresa possui políticas e procedimentos que: conferem aos responsáveis pela apuração acesso a documentos, sistemas e pessoas para a coleta de informações necessárias à apuração?</t>
  </si>
  <si>
    <t xml:space="preserve">AG-FCG-QPE-182</t>
  </si>
  <si>
    <t xml:space="preserve">QPE-183</t>
  </si>
  <si>
    <t xml:space="preserve">20.1.5</t>
  </si>
  <si>
    <t xml:space="preserve">A empresa possui políticas e procedimentos que: estabelecem prazo para conclusão da apuração?</t>
  </si>
  <si>
    <t xml:space="preserve">AG-FCG-QPE-183</t>
  </si>
  <si>
    <t xml:space="preserve">QPE-184</t>
  </si>
  <si>
    <t xml:space="preserve">20.2</t>
  </si>
  <si>
    <t xml:space="preserve">A empresa possui profissionais qualificados para fazer apuração e tratamento de denúncias envolvendo situações de preconceito, discriminação e assédio de qualquer natureza?</t>
  </si>
  <si>
    <t xml:space="preserve">Documentos que comprovem a qualificação ou a participação em treinamentos relevantes para que os profissionais indicados desempenhem adequadamente suas funções, incluindo: i) apuração e tratamento de denúncias relacionadas a direitos humanos e questões ambientais; ii) acolhimento de vítimas de práticas de preconceito, discriminação e assédio de qualquer natureza. Os documentos podem incluir currículos, listas de presença acompanhadas de materiais, fotos, vídeos, certificados, entre outros.</t>
  </si>
  <si>
    <t xml:space="preserve">AG-FCG-QPE-184</t>
  </si>
  <si>
    <t xml:space="preserve">ISO-21; ISO-40</t>
  </si>
  <si>
    <t xml:space="preserve">QPE-185</t>
  </si>
  <si>
    <t xml:space="preserve">20.3</t>
  </si>
  <si>
    <t xml:space="preserve">A empresa possui profissionais qualificados para acolher as pessoas vítimas das práticas de preconceito, discriminação e assédio de qualquer natureza?</t>
  </si>
  <si>
    <t xml:space="preserve">AG-FCG-QPE-185</t>
  </si>
  <si>
    <t xml:space="preserve">QPE-186</t>
  </si>
  <si>
    <t xml:space="preserve">20.4</t>
  </si>
  <si>
    <t xml:space="preserve">A empresa possui profissionais qualificados para fazer apuração e tratamento de denúncias relacionadas com a prática de crime ambiental ou corrupção ambiental?</t>
  </si>
  <si>
    <t xml:space="preserve">AG-FCG-QPE-186</t>
  </si>
  <si>
    <t xml:space="preserve">QPE-188</t>
  </si>
  <si>
    <t xml:space="preserve">20.6</t>
  </si>
  <si>
    <t xml:space="preserve">A empresa realizou a apuração de denúncias relacionadas com atos de preconceito, discriminação e assédio de qualquer natureza entre 2023 e 2025?</t>
  </si>
  <si>
    <t xml:space="preserve">AG-FCG-QPE-188</t>
  </si>
  <si>
    <t xml:space="preserve">QPE-189</t>
  </si>
  <si>
    <t xml:space="preserve">20.7</t>
  </si>
  <si>
    <t xml:space="preserve">A empresa realizou a apuração de denúncias relacionadas com atos de desrespeito à legislação ambiental entre 2023 e 2025?</t>
  </si>
  <si>
    <t xml:space="preserve">AG-FCG-QPE-189</t>
  </si>
  <si>
    <t xml:space="preserve">QPE-190</t>
  </si>
  <si>
    <t xml:space="preserve">21.1.1</t>
  </si>
  <si>
    <t xml:space="preserve">A empresa possui políticas e procedimentos que: estabelecem mecanismos voltados à pronta interrupção de irregularidades?</t>
  </si>
  <si>
    <t xml:space="preserve">AG-FCG-QPE-190</t>
  </si>
  <si>
    <t xml:space="preserve">ISO-40; ISO-51</t>
  </si>
  <si>
    <t xml:space="preserve">XII</t>
  </si>
  <si>
    <t xml:space="preserve">QPE-191</t>
  </si>
  <si>
    <t xml:space="preserve">21.1.2</t>
  </si>
  <si>
    <t xml:space="preserve">A empresa possui políticas e procedimentos que: estabelecem a possibilidade de afastamento cautelar de membros da alta direção suspeitos de envolvimento em atos de corrupção e fraude contra a Administração Pública? Se sim, esclarecer se esse dispositivo já foi aplicado.</t>
  </si>
  <si>
    <t xml:space="preserve">AG-FCG-QPE-191</t>
  </si>
  <si>
    <t xml:space="preserve">QPE-194</t>
  </si>
  <si>
    <t xml:space="preserve">21.1.5</t>
  </si>
  <si>
    <t xml:space="preserve">A empresa possui políticas e procedimentos que: indicam os responsáveis pela aplicação das medidas disciplinares?</t>
  </si>
  <si>
    <t xml:space="preserve">AG-FCG-QPE-194</t>
  </si>
  <si>
    <t xml:space="preserve">QPE-195</t>
  </si>
  <si>
    <t xml:space="preserve">21.1.6</t>
  </si>
  <si>
    <t xml:space="preserve">A empresa possui políticas e procedimentos que: definem os procedimentos necessários para encaminhamento de denúncias às autoridades competentes?</t>
  </si>
  <si>
    <t xml:space="preserve">AG-FCG-QPE-195</t>
  </si>
  <si>
    <t xml:space="preserve">QPE-196</t>
  </si>
  <si>
    <t xml:space="preserve">21.1.7</t>
  </si>
  <si>
    <t xml:space="preserve">A empresa possui políticas e procedimentos que: definem os procedimentos necessários para encaminhamento de denúncias envolvendo violação de direitos humanos às autoridades responsáveis pelas ações de acolhimento e proteção das vítimas e de persecução e responsabilização dos envolvidos nesta prática?</t>
  </si>
  <si>
    <t xml:space="preserve">AG-FCG-QPE-196</t>
  </si>
  <si>
    <t xml:space="preserve">QPE-197</t>
  </si>
  <si>
    <t xml:space="preserve">21.2</t>
  </si>
  <si>
    <t xml:space="preserve">A empresa aplicou procedimentos para interrupção de irregularidades, remediação e aplicação de medidas disciplinares entre 2023 e 2025?</t>
  </si>
  <si>
    <t xml:space="preserve">Processo real de remediação de infração às normas da empresa, preservando as informações sensíveis, mas de forma que permita a avaliação quanto aos procedimentos adotados. Processo real de apuração de denúncia(s), preservando as informações sensíveis, mas de forma que permita a avaliação quanto aos procedimentos adotados.</t>
  </si>
  <si>
    <t xml:space="preserve">AG-FCG-QPE-197</t>
  </si>
  <si>
    <t xml:space="preserve">QPE-200</t>
  </si>
  <si>
    <t xml:space="preserve">22.1.3</t>
  </si>
  <si>
    <t xml:space="preserve">A empresa possui políticas e procedimentos que estabelecem: as instâncias para as quais serão submetidos os dados e as informações apurados no monitoramento?</t>
  </si>
  <si>
    <t xml:space="preserve">AG-FCG-QPE-200</t>
  </si>
  <si>
    <t xml:space="preserve">ISO-41; ISO-44</t>
  </si>
  <si>
    <t xml:space="preserve">QPE-206</t>
  </si>
  <si>
    <t xml:space="preserve">22.3</t>
  </si>
  <si>
    <t xml:space="preserve">A empresa utiliza as informações obtidas a partir do monitoramento para aprimorar seu programa de integridade?</t>
  </si>
  <si>
    <t xml:space="preserve">Documento comprovando ações de aperfeiçoamento do programa de integridade que tiveram como subsídios as informações obtidas a partir do seu monitoramento. Pesquisa interna, relatórios, atas de reuniões ou estudos que demonstrem a utilização das informações obtidas a partir do monitoramento para aprimorar o programa de integridade.</t>
  </si>
  <si>
    <t xml:space="preserve">AG-FCG-QPE-206</t>
  </si>
  <si>
    <t xml:space="preserve">ISO-41; ISO-42; ISO-47; ISO-50</t>
  </si>
  <si>
    <t xml:space="preserve">QPE-210</t>
  </si>
  <si>
    <t xml:space="preserve">23.1.4</t>
  </si>
  <si>
    <t xml:space="preserve">A empresa disponibiliza em seu site institucional, em português, informações completas e atualizadas sobre: as demonstrações financeiras?</t>
  </si>
  <si>
    <t xml:space="preserve">AG-FCG-QPE-210</t>
  </si>
  <si>
    <t xml:space="preserve">QPE-213</t>
  </si>
  <si>
    <t xml:space="preserve">23.1.7</t>
  </si>
  <si>
    <t xml:space="preserve">A empresa disponibiliza em seu site institucional, em português, informações completas e atualizadas sobre: os incentivos ou benefícios fiscais recebidos?</t>
  </si>
  <si>
    <t xml:space="preserve">AG-FCG-QPE-213</t>
  </si>
  <si>
    <t xml:space="preserve">QPE-217</t>
  </si>
  <si>
    <t xml:space="preserve">23.1.11</t>
  </si>
  <si>
    <t xml:space="preserve">A empresa disponibiliza em seu site institucional, em português, informações completas e atualizadas sobre: a estrutura da equipe que compõe a instância interna responsável pelo programa de integridade, incluindo organograma de reporte bem definido, bem como cargo, atribuições e responsabilidades dos seus integrantes?</t>
  </si>
  <si>
    <t xml:space="preserve">AG-FCG-QPE-217</t>
  </si>
  <si>
    <t xml:space="preserve">QPE-219</t>
  </si>
  <si>
    <t xml:space="preserve">24.1</t>
  </si>
  <si>
    <t xml:space="preserve">A empresa possui plano de contingência, aprovado pela alta direção, para enfrentar eventos relacionados com as mudanças climáticas?</t>
  </si>
  <si>
    <t xml:space="preserve">Documentos que comprovem que a empresa possui ações planejadas, baseadas em matriz de riscos e aprovadas pela alta direção, para responder a emergências decorrentes de eventos climáticos que possam comprometer a segurança e a continuidade de suas operações.</t>
  </si>
  <si>
    <t xml:space="preserve">AG-FCG-QPE-219</t>
  </si>
  <si>
    <t xml:space="preserve">QPE-220</t>
  </si>
  <si>
    <t xml:space="preserve">24.2</t>
  </si>
  <si>
    <t xml:space="preserve">A empresa criou medidas de prevenção para enfrentar eventos futuros relacionados com as mudanças climáticas, semelhantes aos que ocorreram nos últimos 5 (cinco) anos, como forma de mitigar novos prejuízos?</t>
  </si>
  <si>
    <t xml:space="preserve">Evidências que comprovem ações preventivas planejadas ou implementadas para mitigar futuros prejuízos decorrentes da repetição ou intensificação de eventos climáticos registrados nos últimos cinco anos.</t>
  </si>
  <si>
    <t xml:space="preserve">AG-FCG-QPE-220</t>
  </si>
  <si>
    <t xml:space="preserve">Pró-Ética · as 10 áreas: teto de pontos e mínimo de 45% (regra do portal)</t>
  </si>
  <si>
    <t xml:space="preserve">Teto (CGU_AREAS do portal). Perguntas e pesos somam as três abas de Conformidade (Essenciais + Pacto + Pró-Ética).</t>
  </si>
  <si>
    <t xml:space="preserve">Teto (pontos)</t>
  </si>
  <si>
    <t xml:space="preserve">Mínimo (45%)</t>
  </si>
  <si>
    <t xml:space="preserve">Nº de perguntas</t>
  </si>
  <si>
    <t xml:space="preserve">Soma dos pesos</t>
  </si>
  <si>
    <t xml:space="preserve">Total</t>
  </si>
  <si>
    <t xml:space="preserve">Etapa IV · Complemento ISO 37301 / 37001 — 27 requisitos parciais ou não previstos na CGU</t>
  </si>
  <si>
    <t xml:space="preserve">Fonte: portal (DB.I com cobertura PARCIAL ou NAO_PREVISTO). Estes itens exigem resposta nova.</t>
  </si>
  <si>
    <t xml:space="preserve">Código</t>
  </si>
  <si>
    <t xml:space="preserve">Seção</t>
  </si>
  <si>
    <t xml:space="preserve">Título</t>
  </si>
  <si>
    <t xml:space="preserve">ISO 37301</t>
  </si>
  <si>
    <t xml:space="preserve">ISO 37001</t>
  </si>
  <si>
    <t xml:space="preserve">Evidência</t>
  </si>
  <si>
    <t xml:space="preserve">Cobertura CGU</t>
  </si>
  <si>
    <t xml:space="preserve">Lacuna</t>
  </si>
  <si>
    <t xml:space="preserve">Perguntas de Conformidade vinculadas</t>
  </si>
  <si>
    <t xml:space="preserve">Perguntas de Perfil vinculadas</t>
  </si>
  <si>
    <t xml:space="preserve">Produto/insumo</t>
  </si>
  <si>
    <t xml:space="preserve">Nota</t>
  </si>
  <si>
    <t xml:space="preserve">4 · Contexto da organização</t>
  </si>
  <si>
    <t xml:space="preserve">Contexto da organização</t>
  </si>
  <si>
    <t xml:space="preserve">A organização identificou, de forma documentada, as questões internas e externas que afetam o seu sistema de compliance e antissuborno (porte, setores, localidades, modelo de negócio, relação com o poder público, entidades controladas e parceiros) e revisa essa análise periodicamente?</t>
  </si>
  <si>
    <t xml:space="preserve">Análise de contexto aprovada (seção do manual do sistema ou relatório específico), com data de revisão; pode reaproveitar os dados do Formulário de Perfil.</t>
  </si>
  <si>
    <t xml:space="preserve">NAO_PREVISTO</t>
  </si>
  <si>
    <t xml:space="preserve">O Perfil CGU coleta os dados de contexto, mas a Conformidade não exige uma análise de contexto formal e revisada.</t>
  </si>
  <si>
    <t xml:space="preserve">EA1; EA3; EA5; EA8; EA10; EA12; EA13; IP1; IP2; IP4; IP5; IP6</t>
  </si>
  <si>
    <t xml:space="preserve">SISTEMA_GESTAO</t>
  </si>
  <si>
    <t xml:space="preserve">Respostas do Perfil (Etapa 0) exportadas como insumo da análise de contexto.</t>
  </si>
  <si>
    <t xml:space="preserve">Ação de revalidação (29/09/2026): produzir e manter como evidência — Análise de contexto aprovada (seção do manual do sistema ou relatório específico), com data de revisão; pode reaproveitar os dados do Formulário de Perfil.</t>
  </si>
  <si>
    <t xml:space="preserve">AG-ISO-01</t>
  </si>
  <si>
    <t xml:space="preserve">ISO-03</t>
  </si>
  <si>
    <t xml:space="preserve">Partes interessadas e seus requisitos</t>
  </si>
  <si>
    <t xml:space="preserve">A organização determinou quais partes interessadas são relevantes para o sistema (reguladores, clientes públicos e privados, sócios, empregados, parceiros, comunidade) e quais requisitos delas serão tratados?</t>
  </si>
  <si>
    <t xml:space="preserve">Matriz de partes interessadas com requisitos/expectativas, fonte e forma de tratamento, aprovada e revisada.</t>
  </si>
  <si>
    <t xml:space="preserve">Não há pergunta CGU sobre análise formal de partes interessadas (lacuna típica de certificação).</t>
  </si>
  <si>
    <t xml:space="preserve">IP1; IP4; IP5; EA12</t>
  </si>
  <si>
    <t xml:space="preserve">Ação de revalidação (29/09/2026): produzir e manter como evidência — Matriz de partes interessadas com requisitos/expectativas, fonte e forma de tratamento, aprovada e revisada.</t>
  </si>
  <si>
    <t xml:space="preserve">AG-ISO-03</t>
  </si>
  <si>
    <t xml:space="preserve">Escopo do sistema de gestão</t>
  </si>
  <si>
    <t xml:space="preserve">4.3</t>
  </si>
  <si>
    <t xml:space="preserve">O escopo do sistema está definido e documentado (unidades, entidades controladas, processos e atividades cobertos), com justificativa para eventuais exclusões?</t>
  </si>
  <si>
    <t xml:space="preserve">Declaração de escopo aprovada (manual do sistema), coerente com o Perfil (grupo econômico, UFs, atividades).</t>
  </si>
  <si>
    <t xml:space="preserve">A CGU avalia o programa da pessoa jurídica candidata; a ISO exige declarar e justificar o escopo certificado.</t>
  </si>
  <si>
    <t xml:space="preserve">EA8; EA12; EA12.2</t>
  </si>
  <si>
    <t xml:space="preserve">Ação de revalidação (29/09/2026): produzir e manter como evidência — Declaração de escopo aprovada (manual do sistema), coerente com o Perfil (grupo econômico, UFs, atividades).</t>
  </si>
  <si>
    <t xml:space="preserve">AG-ISO-04</t>
  </si>
  <si>
    <t xml:space="preserve">Sistema de gestão estabelecido</t>
  </si>
  <si>
    <t xml:space="preserve">4.4</t>
  </si>
  <si>
    <t xml:space="preserve">O programa de integridade está organizado como sistema de gestão — processos definidos, interações, responsáveis, recursos e ciclo de melhoria (planejar, executar, verificar, agir)?</t>
  </si>
  <si>
    <t xml:space="preserve">Manual ou mapa de processos do sistema, com interações e responsáveis; evidência de que os processos operam.</t>
  </si>
  <si>
    <t xml:space="preserve">PARCIAL</t>
  </si>
  <si>
    <t xml:space="preserve">A CGU verifica políticas proporcionais, operacionais e aplicadas; a ISO exige a arquitetura de gestão formal com ciclo PDCA.</t>
  </si>
  <si>
    <t xml:space="preserve">QPE-079; QPE-080; QPE-083</t>
  </si>
  <si>
    <t xml:space="preserve">PI1; PI2</t>
  </si>
  <si>
    <t xml:space="preserve">Ação de revalidação (29/09/2026): produzir e manter como evidência — Manual ou mapa de processos do sistema, com interações e responsáveis; evidência de que os processos operam.</t>
  </si>
  <si>
    <t xml:space="preserve">AG-ISO-05</t>
  </si>
  <si>
    <t xml:space="preserve">Obrigações de compliance</t>
  </si>
  <si>
    <t xml:space="preserve">4.5</t>
  </si>
  <si>
    <t xml:space="preserve">A organização mantém um inventário atualizado de suas obrigações de compliance (leis, regulamentos, licenças, contratos e compromissos voluntários), com avaliação do impacto e responsáveis?</t>
  </si>
  <si>
    <t xml:space="preserve">Registro de obrigações de compliance com fonte, área responsável, data de atualização e avaliação de atendimento.</t>
  </si>
  <si>
    <t xml:space="preserve">O FCG pressupõe o cumprimento da Lei 12.846/2013, mas não exige registro de obrigações (lacuna típica de certificação ISO 37301).</t>
  </si>
  <si>
    <t xml:space="preserve">IP1; IP3; EA10</t>
  </si>
  <si>
    <t xml:space="preserve">Ação de revalidação (29/09/2026): produzir e manter como evidência — Registro de obrigações de compliance com fonte, área responsável, data de atualização e avaliação de atendimento.</t>
  </si>
  <si>
    <t xml:space="preserve">AG-ISO-06</t>
  </si>
  <si>
    <t xml:space="preserve">ISO-10</t>
  </si>
  <si>
    <t xml:space="preserve">5 · Liderança</t>
  </si>
  <si>
    <t xml:space="preserve">Cultura de compliance e antissuborno</t>
  </si>
  <si>
    <t xml:space="preserve">5.1.2</t>
  </si>
  <si>
    <t xml:space="preserve">5.1.3</t>
  </si>
  <si>
    <t xml:space="preserve">A organização promove e avalia uma cultura de compliance e antissuborno em todos os níveis, com exemplo visível da liderança e reconhecimento de condutas adequadas?</t>
  </si>
  <si>
    <t xml:space="preserve">Plano de cultura, pesquisa de clima ético ou percepção de integridade, indicadores de cultura e ações decorrentes.</t>
  </si>
  <si>
    <t xml:space="preserve">A CGU avalia manifestações e comunicação; a ISO espera ações e evidências de avaliação da cultura (ex.: pesquisa de clima ético).</t>
  </si>
  <si>
    <t xml:space="preserve">QPE-014; QPE-019; QPE-020; QPE-126; QPE-004</t>
  </si>
  <si>
    <t xml:space="preserve">Subcláusula dedicada à cultura antissuborno é novidade da ISO 37001:2025. Ação de revalidação (29/09/2026): produzir e manter como evidência — Plano de cultura, pesquisa de clima ético ou percepção de integridade, indicadores de cultura e ações decorrentes.</t>
  </si>
  <si>
    <t xml:space="preserve">AG-ISO-10</t>
  </si>
  <si>
    <t xml:space="preserve">ISO-13</t>
  </si>
  <si>
    <t xml:space="preserve">Papéis, responsabilidades e autoridades</t>
  </si>
  <si>
    <t xml:space="preserve">5.3.1</t>
  </si>
  <si>
    <t xml:space="preserve">As responsabilidades e autoridades de cada papel relevante para o sistema estão atribuídas, comunicadas e compreendidas em todos os níveis?</t>
  </si>
  <si>
    <t xml:space="preserve">Matriz de responsabilidades (RACI) do sistema, descrições de cargo e comunicação aos responsáveis.</t>
  </si>
  <si>
    <t xml:space="preserve">A CGU pede responsáveis por políticas, riscos e apurações; a ISO pede atribuição sistemática para todos os papéis do sistema.</t>
  </si>
  <si>
    <t xml:space="preserve">QPE-025; QPE-039; QPE-044; QPE-081; QPE-181; QPE-194</t>
  </si>
  <si>
    <t xml:space="preserve">Ação de revalidação (29/09/2026): produzir e manter como evidência — Matriz de responsabilidades (RACI) do sistema, descrições de cargo e comunicação aos responsáveis.</t>
  </si>
  <si>
    <t xml:space="preserve">AG-ISO-13</t>
  </si>
  <si>
    <t xml:space="preserve">Gestores e pessoal</t>
  </si>
  <si>
    <t xml:space="preserve">5.3.3 / 5.3.4</t>
  </si>
  <si>
    <t xml:space="preserve">Os gestores das áreas de negócio respondem pelo cumprimento em suas áreas e o pessoal é orientado a cumprir as políticas e a relatar suspeitas?</t>
  </si>
  <si>
    <t xml:space="preserve">Metas ou atribuições de compliance para gestores, termos de ciência do Código, comunicações dirigidas a gestores.</t>
  </si>
  <si>
    <t xml:space="preserve">A ISO explicita a responsabilização dos gestores de linha; a CGU verifica ciência do Código e responsáveis por políticas.</t>
  </si>
  <si>
    <t xml:space="preserve">QPE-081; QPE-224; QPE-056</t>
  </si>
  <si>
    <t xml:space="preserve">Ação de revalidação (29/09/2026): produzir e manter como evidência — Metas ou atribuições de compliance para gestores, termos de ciência do Código, comunicações dirigidas a gestores.</t>
  </si>
  <si>
    <t xml:space="preserve">AG-ISO-15</t>
  </si>
  <si>
    <t xml:space="preserve">ISO-16</t>
  </si>
  <si>
    <t xml:space="preserve">Delegação de decisões</t>
  </si>
  <si>
    <t xml:space="preserve">5.3.3</t>
  </si>
  <si>
    <t xml:space="preserve">Quando decisões com risco de suborno acima de baixo são delegadas, há processo de decisão com controles, livre de conflito de interesses, e revisão periódica das delegações?</t>
  </si>
  <si>
    <t xml:space="preserve">Matriz de alçadas, política de delegação, declarações de conflito de interesses e revisão das delegações.</t>
  </si>
  <si>
    <t xml:space="preserve">A CGU cobre alçadas e conflito de interesses com o poder público; a ISO pede revisão periódica das delegações de risco.</t>
  </si>
  <si>
    <t xml:space="preserve">QPE-134; QPE-075</t>
  </si>
  <si>
    <t xml:space="preserve">Ação de revalidação (29/09/2026): produzir e manter como evidência — Matriz de alçadas, política de delegação, declarações de conflito de interesses e revisão das delegações.</t>
  </si>
  <si>
    <t xml:space="preserve">AG-ISO-16</t>
  </si>
  <si>
    <t xml:space="preserve">ISO-17</t>
  </si>
  <si>
    <t xml:space="preserve">6 · Planejamento</t>
  </si>
  <si>
    <t xml:space="preserve">Ações para riscos e oportunidades</t>
  </si>
  <si>
    <t xml:space="preserve">A organização planejou ações para tratar riscos e oportunidades identificados, integrou essas ações aos processos e avalia se foram eficazes?</t>
  </si>
  <si>
    <t xml:space="preserve">Plano de tratamento de riscos com responsáveis e prazos, e avaliação de eficácia das ações.</t>
  </si>
  <si>
    <t xml:space="preserve">A ISO inclui oportunidades e exige avaliação da eficácia das ações planejadas.</t>
  </si>
  <si>
    <t xml:space="preserve">QPE-043; QPE-044; QPE-045; QPE-117</t>
  </si>
  <si>
    <t xml:space="preserve">Ação de revalidação (29/09/2026): produzir e manter como evidência — Plano de tratamento de riscos com responsáveis e prazos, e avaliação de eficácia das ações.</t>
  </si>
  <si>
    <t xml:space="preserve">AG-ISO-17</t>
  </si>
  <si>
    <t xml:space="preserve">ISO-18</t>
  </si>
  <si>
    <t xml:space="preserve">Objetivos e planejamento para alcançá-los</t>
  </si>
  <si>
    <t xml:space="preserve">Existem objetivos de compliance e antissuborno mensuráveis, aprovados, monitorados e comunicados, com definição de ações, recursos, responsáveis, prazos e forma de avaliação?</t>
  </si>
  <si>
    <t xml:space="preserve">Documento de objetivos aprovado (ex.: plano anual de integridade) com metas, indicadores, responsáveis e prazos.</t>
  </si>
  <si>
    <t xml:space="preserve">A CGU verifica indicadores e metas; a ISO exige objetivos formais do sistema e o plano para atingi-los (lacuna típica).</t>
  </si>
  <si>
    <t xml:space="preserve">Ação de revalidação (29/09/2026): produzir e manter como evidência — Documento de objetivos aprovado (ex.: plano anual de integridade) com metas, indicadores, responsáveis e prazos.</t>
  </si>
  <si>
    <t xml:space="preserve">AG-ISO-18</t>
  </si>
  <si>
    <t xml:space="preserve">ISO-19</t>
  </si>
  <si>
    <t xml:space="preserve">Planejamento de mudanças</t>
  </si>
  <si>
    <t xml:space="preserve">Mudanças no sistema de gestão (estrutura, escopo, processos, responsáveis) são planejadas considerando propósito, consequências, recursos e realocação de responsabilidades?</t>
  </si>
  <si>
    <t xml:space="preserve">Registro de gestão de mudanças do sistema (solicitação, análise de impacto, aprovação e comunicação).</t>
  </si>
  <si>
    <t xml:space="preserve">Não há pergunta CGU sobre gestão de mudanças do programa. Cláusula nova na ISO 37001:2025.</t>
  </si>
  <si>
    <t xml:space="preserve">Ação de revalidação (29/09/2026): produzir e manter como evidência — Registro de gestão de mudanças do sistema (solicitação, análise de impacto, aprovação e comunicação).</t>
  </si>
  <si>
    <t xml:space="preserve">AG-ISO-19</t>
  </si>
  <si>
    <t xml:space="preserve">7 · Suporte</t>
  </si>
  <si>
    <t xml:space="preserve">Competência</t>
  </si>
  <si>
    <t xml:space="preserve">A competência necessária de quem afeta o desempenho de compliance está definida, assegurada (formação, treinamento, experiência) e evidenciada, com ações quando houver lacuna?</t>
  </si>
  <si>
    <t xml:space="preserve">Matriz de competências por função, registros de formação e plano de capacitação da equipe de compliance.</t>
  </si>
  <si>
    <t xml:space="preserve">A CGU verifica capacitação de grupos específicos; a ISO pede competências documentadas por função (lacuna típica).</t>
  </si>
  <si>
    <t xml:space="preserve">QPE-009; QPE-010; QPE-032; QPE-140; QPE-184; QPE-185; QPE-186</t>
  </si>
  <si>
    <t xml:space="preserve">Ação de revalidação (29/09/2026): produzir e manter como evidência — Matriz de competências por função, registros de formação e plano de capacitação da equipe de compliance.</t>
  </si>
  <si>
    <t xml:space="preserve">AG-ISO-21</t>
  </si>
  <si>
    <t xml:space="preserve">ISO-22</t>
  </si>
  <si>
    <t xml:space="preserve">Processo de contratação e condições de emprego</t>
  </si>
  <si>
    <t xml:space="preserve">As condições de emprego exigem cumprimento da política, e o recrutamento, a promoção e a transferência para funções de risco incluem verificações proporcionais (antecedentes, conflito de interesses)?</t>
  </si>
  <si>
    <t xml:space="preserve">Cláusulas contratuais de trabalho, procedimento de background check por nível de risco e declarações de conflito de interesses.</t>
  </si>
  <si>
    <t xml:space="preserve">A CGU cobre critérios de integridade para a alta direção; a ISO estende os controles a todas as funções de risco acima de baixo.</t>
  </si>
  <si>
    <t xml:space="preserve">QPE-001; QPE-002; QPE-224</t>
  </si>
  <si>
    <t xml:space="preserve">Ação de revalidação (29/09/2026): produzir e manter como evidência — Cláusulas contratuais de trabalho, procedimento de background check por nível de risco e declarações de conflito de interesses.</t>
  </si>
  <si>
    <t xml:space="preserve">AG-ISO-22</t>
  </si>
  <si>
    <t xml:space="preserve">ISO-23</t>
  </si>
  <si>
    <t xml:space="preserve">Conflitos de interesses</t>
  </si>
  <si>
    <t xml:space="preserve">A organização identifica, avalia e gerencia conflitos de interesses reais e potenciais de pessoal e administradores, com declarações periódicas e tratamento documentado?</t>
  </si>
  <si>
    <t xml:space="preserve">Política de conflito de interesses, declarações anuais e registro de casos tratados.</t>
  </si>
  <si>
    <t xml:space="preserve">A CGU trata conflito de interesses nas relações com a Administração Pública; a ISO 37001:2025 torna explícita a gestão geral de conflitos.</t>
  </si>
  <si>
    <t xml:space="preserve">QPE-075; QPE-001; QPE-002</t>
  </si>
  <si>
    <t xml:space="preserve">Requisito explicitado na ISO 37001:2025. Ação de revalidação (29/09/2026): produzir e manter como evidência — Política de conflito de interesses, declarações anuais e registro de casos tratados.</t>
  </si>
  <si>
    <t xml:space="preserve">AG-ISO-23</t>
  </si>
  <si>
    <t xml:space="preserve">ISO-24</t>
  </si>
  <si>
    <t xml:space="preserve">Disciplina e proteção de quem recusa ou relata</t>
  </si>
  <si>
    <t xml:space="preserve">Há medidas disciplinares previstas para descumprimento e garantia de que ninguém sofrerá retaliação por recusar participar de suborno ou por relatar de boa-fé?</t>
  </si>
  <si>
    <t xml:space="preserve">Política disciplinar correlacionada a infrações e cláusula expressa de não retaliação, inclusive para recusa.</t>
  </si>
  <si>
    <t xml:space="preserve">A proteção de quem recusa participar de suborno não é pedida expressamente pela CGU.</t>
  </si>
  <si>
    <t xml:space="preserve">QPE-062; QPE-192; QPE-193; QPE-059; QPE-175</t>
  </si>
  <si>
    <t xml:space="preserve">Ação de revalidação (29/09/2026): produzir e manter como evidência — Política disciplinar correlacionada a infrações e cláusula expressa de não retaliação, inclusive para recusa.</t>
  </si>
  <si>
    <t xml:space="preserve">AG-ISO-24</t>
  </si>
  <si>
    <t xml:space="preserve">ISO-25</t>
  </si>
  <si>
    <t xml:space="preserve">Metas, bônus e incentivos</t>
  </si>
  <si>
    <t xml:space="preserve">Metas de desempenho, bônus e incentivos são revisados periodicamente para não estimular suborno, com salvaguardas adequadas?</t>
  </si>
  <si>
    <t xml:space="preserve">Política de remuneração variável com revisão de metas e salvaguardas de integridade.</t>
  </si>
  <si>
    <t xml:space="preserve">A CGU pergunta sobre remuneração variável da alta direção ligada à integridade; a ISO pede revisão dos incentivos de todas as funções de risco.</t>
  </si>
  <si>
    <t xml:space="preserve">Ação de revalidação (29/09/2026): produzir e manter como evidência — Política de remuneração variável com revisão de metas e salvaguardas de integridade.</t>
  </si>
  <si>
    <t xml:space="preserve">AG-ISO-25</t>
  </si>
  <si>
    <t xml:space="preserve">ISO-29</t>
  </si>
  <si>
    <t xml:space="preserve">Informação documentada</t>
  </si>
  <si>
    <t xml:space="preserve">7.5</t>
  </si>
  <si>
    <t xml:space="preserve">A informação documentada do sistema é criada, aprovada, versionada, protegida, distribuída e retida de forma controlada?</t>
  </si>
  <si>
    <t xml:space="preserve">Procedimento de controle de documentos, lista mestra com versões e aprovações, regras de retenção e acesso.</t>
  </si>
  <si>
    <t xml:space="preserve">A CGU exige documentos formais, mas não o controle do ciclo de vida documental (lacuna típica de certificação).</t>
  </si>
  <si>
    <t xml:space="preserve">Cofre de evidências (versão, data, validade, hash SHA-256) e trilha de auditoria exportados.</t>
  </si>
  <si>
    <t xml:space="preserve">Ação de revalidação (29/09/2026): produzir e manter como evidência — Procedimento de controle de documentos, lista mestra com versões e aprovações, regras de retenção e acesso.</t>
  </si>
  <si>
    <t xml:space="preserve">AG-ISO-29</t>
  </si>
  <si>
    <t xml:space="preserve">ISO-30</t>
  </si>
  <si>
    <t xml:space="preserve">8 · Operação</t>
  </si>
  <si>
    <t xml:space="preserve">Planejamento e controle operacional</t>
  </si>
  <si>
    <t xml:space="preserve">Os processos necessários para cumprir as obrigações e tratar os riscos estão planejados, com critérios, controles implementados e processos terceirizados também controlados?</t>
  </si>
  <si>
    <t xml:space="preserve">Procedimentos operacionais com critérios de controle, evidências de execução e controles sobre terceirizados.</t>
  </si>
  <si>
    <t xml:space="preserve">A ISO exige controle explícito também dos processos terceirizados e registros de que operaram como planejado.</t>
  </si>
  <si>
    <t xml:space="preserve">QPE-080; QPE-083; QPE-099</t>
  </si>
  <si>
    <t xml:space="preserve">Ação de revalidação (29/09/2026): produzir e manter como evidência — Procedimentos operacionais com critérios de controle, evidências de execução e controles sobre terceirizados.</t>
  </si>
  <si>
    <t xml:space="preserve">AG-ISO-30</t>
  </si>
  <si>
    <t xml:space="preserve">Controladas e parceiros de negócio</t>
  </si>
  <si>
    <t xml:space="preserve">8.5</t>
  </si>
  <si>
    <t xml:space="preserve">As entidades controladas implementam controles antissuborno razoáveis e os parceiros de negócio de risco acima de baixo são instados a adotar controles equivalentes?</t>
  </si>
  <si>
    <t xml:space="preserve">Extensão formal do programa às controladas, código de terceiros, verificação de programas de integridade dos parceiros.</t>
  </si>
  <si>
    <t xml:space="preserve">A CGU verifica código para terceiros e riscos das controladas; a ISO exige verificar a implementação de controles nas controladas.</t>
  </si>
  <si>
    <t xml:space="preserve">QPE-046; QPE-067; QPE-068; QPE-069; QPE-070; QPE-072; QPE-112; QPE-147</t>
  </si>
  <si>
    <t xml:space="preserve">Ação de revalidação (29/09/2026): produzir e manter como evidência — Extensão formal do programa às controladas, código de terceiros, verificação de programas de integridade dos parceiros.</t>
  </si>
  <si>
    <t xml:space="preserve">AG-ISO-35</t>
  </si>
  <si>
    <t xml:space="preserve">ISO-42</t>
  </si>
  <si>
    <t xml:space="preserve">9 · Avaliação de desempenho</t>
  </si>
  <si>
    <t xml:space="preserve">Fontes de retroalimentação</t>
  </si>
  <si>
    <t xml:space="preserve">A organização coleta e considera retroalimentação de várias fontes (relatos, reclamações, auditorias, reguladores, pesquisas) sobre o desempenho de compliance?</t>
  </si>
  <si>
    <t xml:space="preserve">Registro consolidado de fontes de retroalimentação e evidência de uso nas decisões.</t>
  </si>
  <si>
    <t xml:space="preserve">A CGU foca estatísticas do canal e uso do monitoramento; a ISO pede consolidação de múltiplas fontes.</t>
  </si>
  <si>
    <t xml:space="preserve">QPE-203; QPE-206; QPE-131</t>
  </si>
  <si>
    <t xml:space="preserve">Ação de revalidação (29/09/2026): produzir e manter como evidência — Registro consolidado de fontes de retroalimentação e evidência de uso nas decisões.</t>
  </si>
  <si>
    <t xml:space="preserve">AG-ISO-42</t>
  </si>
  <si>
    <t xml:space="preserve">ISO-45</t>
  </si>
  <si>
    <t xml:space="preserve">Registros</t>
  </si>
  <si>
    <t xml:space="preserve">São mantidos registros precisos e protegidos das atividades de compliance (treinamentos, relatos, investigações, diligências, decisões), com retenção definida?</t>
  </si>
  <si>
    <t xml:space="preserve">Repositório de registros com controle de acesso, regras de retenção e integridade dos arquivos.</t>
  </si>
  <si>
    <t xml:space="preserve">A ISO exige gestão de registros com proteção e retenção; a CGU verifica registros pontuais.</t>
  </si>
  <si>
    <t xml:space="preserve">QPE-113; QPE-115; QPE-205</t>
  </si>
  <si>
    <t xml:space="preserve">Trilha de auditoria e hashes do cofre de evidências.</t>
  </si>
  <si>
    <t xml:space="preserve">Ação de revalidação (29/09/2026): produzir e manter como evidência — Repositório de registros com controle de acesso, regras de retenção e integridade dos arquivos.</t>
  </si>
  <si>
    <t xml:space="preserve">AG-ISO-45</t>
  </si>
  <si>
    <t xml:space="preserve">Auditoria interna do sistema</t>
  </si>
  <si>
    <t xml:space="preserve">9.2</t>
  </si>
  <si>
    <t xml:space="preserve">Há programa de auditoria interna do sistema de gestão (frequência, métodos, critérios, escopo), com auditores objetivos e imparciais e resultados reportados?</t>
  </si>
  <si>
    <t xml:space="preserve">Programa e plano de auditoria do sistema, relatórios de auditoria contra a norma e tratamento dos achados.</t>
  </si>
  <si>
    <t xml:space="preserve">A CGU avalia a auditoria interna em geral; a ISO exige auditar o próprio sistema contra os requisitos da norma (lacuna típica).</t>
  </si>
  <si>
    <t xml:space="preserve">QPE-137; QPE-138; QPE-139; QPE-140; QPE-141; QPE-142</t>
  </si>
  <si>
    <t xml:space="preserve">Ação de revalidação (29/09/2026): produzir e manter como evidência — Programa e plano de auditoria do sistema, relatórios de auditoria contra a norma e tratamento dos achados.</t>
  </si>
  <si>
    <t xml:space="preserve">AG-ISO-46</t>
  </si>
  <si>
    <t xml:space="preserve">ISO-47</t>
  </si>
  <si>
    <t xml:space="preserve">Análise crítica pela alta direção</t>
  </si>
  <si>
    <t xml:space="preserve">9.3.1</t>
  </si>
  <si>
    <t xml:space="preserve">A alta direção analisa criticamente o sistema em intervalos planejados, com entradas definidas (ações anteriores, mudanças, desempenho, auditorias, relatos, riscos) e registra as decisões?</t>
  </si>
  <si>
    <t xml:space="preserve">Ata de análise crítica com todas as entradas exigidas, decisões e ações de melhoria.</t>
  </si>
  <si>
    <t xml:space="preserve">A CGU verifica supervisão por relatórios; a ISO exige análise crítica formal com entradas e saídas definidas.</t>
  </si>
  <si>
    <t xml:space="preserve">QPE-006; QPE-007; QPE-206</t>
  </si>
  <si>
    <t xml:space="preserve">Painel e dossiê exportados como pauta da análise crítica.</t>
  </si>
  <si>
    <t xml:space="preserve">Ação de revalidação (29/09/2026): produzir e manter como evidência — Ata de análise crítica com todas as entradas exigidas, decisões e ações de melhoria.</t>
  </si>
  <si>
    <t xml:space="preserve">AG-ISO-47</t>
  </si>
  <si>
    <t xml:space="preserve">ISO-48</t>
  </si>
  <si>
    <t xml:space="preserve">Análise pelo órgão de governança</t>
  </si>
  <si>
    <t xml:space="preserve">9.3.2</t>
  </si>
  <si>
    <t xml:space="preserve">O órgão de governança analisa periodicamente o sistema com base nas informações da alta direção e da função de compliance?</t>
  </si>
  <si>
    <t xml:space="preserve">Atas do conselho com apreciação do relatório do sistema e deliberações.</t>
  </si>
  <si>
    <t xml:space="preserve">A ISO 37001 pede análise específica do órgão de governança, distinta da análise da alta direção.</t>
  </si>
  <si>
    <t xml:space="preserve">QPE-005; QPE-006; QPE-012</t>
  </si>
  <si>
    <t xml:space="preserve">Ação de revalidação (29/09/2026): produzir e manter como evidência — Atas do conselho com apreciação do relatório do sistema e deliberações.</t>
  </si>
  <si>
    <t xml:space="preserve">AG-ISO-48</t>
  </si>
  <si>
    <t xml:space="preserve">ISO-50</t>
  </si>
  <si>
    <t xml:space="preserve">10 · Melhoria</t>
  </si>
  <si>
    <t xml:space="preserve">Melhoria contínua</t>
  </si>
  <si>
    <t xml:space="preserve">A organização melhora continuamente a adequação, a suficiência e a eficácia do sistema, com base no monitoramento, nas auditorias e na análise crítica?</t>
  </si>
  <si>
    <t xml:space="preserve">Plano de melhorias com origem (auditoria, monitoramento, análise crítica), responsáveis e status.</t>
  </si>
  <si>
    <t xml:space="preserve">A ISO exige ciclo formal de melhoria contínua; a CGU verifica o uso do monitoramento para aprimorar o programa.</t>
  </si>
  <si>
    <t xml:space="preserve">QPE-206; QPE-131</t>
  </si>
  <si>
    <t xml:space="preserve">Ação de revalidação (29/09/2026): produzir e manter como evidência — Plano de melhorias com origem (auditoria, monitoramento, análise crítica), responsáveis e status.</t>
  </si>
  <si>
    <t xml:space="preserve">AG-ISO-50</t>
  </si>
  <si>
    <t xml:space="preserve">ISO-51</t>
  </si>
  <si>
    <t xml:space="preserve">Não conformidade e ação corretiva</t>
  </si>
  <si>
    <t xml:space="preserve">Quando ocorre não conformidade, a organização a corrige, analisa a causa raiz, implementa ação corretiva, verifica a eficácia e mantém registros?</t>
  </si>
  <si>
    <t xml:space="preserve">Registro de não conformidades com análise de causa raiz, ação corretiva, verificação de eficácia e encerramento.</t>
  </si>
  <si>
    <t xml:space="preserve">A ISO exige análise de causa raiz documentada e verificação de eficácia (lacuna típica).</t>
  </si>
  <si>
    <t xml:space="preserve">QPE-142; QPE-190; QPE-197</t>
  </si>
  <si>
    <t xml:space="preserve">Na ISO 37001:2025 a ordem foi harmonizada: 10.1 melhoria contínua e 10.2 não conformidade. Ação de revalidação (29/09/2026): produzir e manter como evidência — Registro de não conformidades com análise de causa raiz, ação corretiva, verificação de eficácia e encerramento.</t>
  </si>
  <si>
    <t xml:space="preserve">AG-ISO-51</t>
  </si>
  <si>
    <t xml:space="preserve">Etapa IV · ISO 37301 / 37001 — 24 requisitos já cobertos pela CGU (reaproveitáveis)</t>
  </si>
  <si>
    <t xml:space="preserve">Fonte: portal (DB.I com cobertura COBERTO). Resposta reaproveitada das perguntas de Conformidade vinculadas, após confirmação humana.</t>
  </si>
  <si>
    <t xml:space="preserve">Mudança do clima como questão de contexto</t>
  </si>
  <si>
    <t xml:space="preserve">4.1 (Amd 1:2024)</t>
  </si>
  <si>
    <t xml:space="preserve">A organização avaliou se a mudança do clima é uma questão relevante para o seu contexto e para o sistema de gestão, e registrou a conclusão?</t>
  </si>
  <si>
    <t xml:space="preserve">Registro da avaliação climática (riscos físicos e de transição) e sua relação com o sistema; plano de contingência quando aplicável.</t>
  </si>
  <si>
    <t xml:space="preserve">COBERTO</t>
  </si>
  <si>
    <t xml:space="preserve">A CGU trata riscos climáticos e contingência; a ISO pede que a conclusão seja integrada à análise de contexto do sistema.</t>
  </si>
  <si>
    <t xml:space="preserve">QPE-050; QPE-219; QPE-220</t>
  </si>
  <si>
    <t xml:space="preserve">PI14; PI15; PI16; PI17</t>
  </si>
  <si>
    <t xml:space="preserve">Requisito introduzido pela emenda climática de 2024 (ISO 37301) e incorporado à ISO 37001:2025.</t>
  </si>
  <si>
    <t xml:space="preserve">AG-ISO-02</t>
  </si>
  <si>
    <t xml:space="preserve">Avaliação de riscos de compliance e de suborno</t>
  </si>
  <si>
    <t xml:space="preserve">4.6</t>
  </si>
  <si>
    <t xml:space="preserve">A organização identifica, analisa e avalia seus riscos de compliance e de suborno com critérios definidos, documenta o resultado e o revisa periodicamente e sempre que houver mudança relevante?</t>
  </si>
  <si>
    <t xml:space="preserve">Metodologia de riscos aprovada e matriz de riscos do período, com critérios de avaliação, responsáveis e data de revisão.</t>
  </si>
  <si>
    <t xml:space="preserve">A ISO 37001 enfatiza critérios documentados para classificar o nível de risco de suborno e a revisão em mudanças significativas.</t>
  </si>
  <si>
    <t xml:space="preserve">QPE-037; QPE-038; QPE-039; QPE-040; QPE-041; QPE-042; QPE-043; QPE-044; QPE-045; QPE-046; QPE-047; QPE-048</t>
  </si>
  <si>
    <t xml:space="preserve">AG-ISO-07</t>
  </si>
  <si>
    <t xml:space="preserve">Órgão de governança</t>
  </si>
  <si>
    <t xml:space="preserve">O órgão de governança (conselho ou equivalente) aprova a política, recebe informações periódicas sobre o funcionamento do sistema e exerce supervisão razoável sobre sua implementação e eficácia?</t>
  </si>
  <si>
    <t xml:space="preserve">Atas do conselho com aprovação da política, pautas periódicas do programa e deliberações de supervisão.</t>
  </si>
  <si>
    <t xml:space="preserve">QPE-005; QPE-006; QPE-007; QPE-008; QPE-011; QPE-012</t>
  </si>
  <si>
    <t xml:space="preserve">AG-ISO-08</t>
  </si>
  <si>
    <t xml:space="preserve">Alta direção</t>
  </si>
  <si>
    <t xml:space="preserve">A alta direção assegura recursos, integra os requisitos do sistema aos processos do negócio, comunica sua importância e apoia os demais gestores em suas responsabilidades?</t>
  </si>
  <si>
    <t xml:space="preserve">Manifestações formais, orçamento aprovado, comunicações da alta direção e registros de apoio aos gestores.</t>
  </si>
  <si>
    <t xml:space="preserve">QPE-013; QPE-014; QPE-015; QPE-016; QPE-017; QPE-018; QPE-019; QPE-020; QPE-021; QPE-022; QPE-023</t>
  </si>
  <si>
    <t xml:space="preserve">AG-ISO-09</t>
  </si>
  <si>
    <t xml:space="preserve">ISO-11</t>
  </si>
  <si>
    <t xml:space="preserve">Governança de compliance (acesso e independência)</t>
  </si>
  <si>
    <t xml:space="preserve">5.3.2</t>
  </si>
  <si>
    <t xml:space="preserve">A função de compliance/antissuborno tem acesso direto ao órgão de governança e à alta direção, independência e autoridade para agir, inclusive para escalar temas?</t>
  </si>
  <si>
    <t xml:space="preserve">Ato de designação com linha de reporte, garantias de independência e registros de reuniões diretas com o conselho.</t>
  </si>
  <si>
    <t xml:space="preserve">QPE-029; QPE-033; QPE-034; QPE-035</t>
  </si>
  <si>
    <t xml:space="preserve">AG-ISO-11</t>
  </si>
  <si>
    <t xml:space="preserve">Política de compliance e antissuborno</t>
  </si>
  <si>
    <t xml:space="preserve">Existe política aprovada e documentada que proíbe o suborno, exige cumprimento das leis, incentiva o relato de boa-fé sem retaliação, explica consequências do descumprimento e está disponível a pessoal e parceiros?</t>
  </si>
  <si>
    <t xml:space="preserve">Política/Código aprovado, vigente, publicado em português, com cláusulas de proibição, relato, não retaliação e sanções.</t>
  </si>
  <si>
    <t xml:space="preserve">QPE-005; QPE-051; QPE-052; QPE-053; QPE-059; QPE-061; QPE-062; QPE-066; QPE-073; QPE-082</t>
  </si>
  <si>
    <t xml:space="preserve">AG-ISO-12</t>
  </si>
  <si>
    <t xml:space="preserve">Função de compliance / antissuborno</t>
  </si>
  <si>
    <t xml:space="preserve">Há função designada com competência, status, autoridade, independência e recursos adequados, responsável por supervisionar o sistema, orientar o pessoal e reportar à alta direção e ao órgão de governança?</t>
  </si>
  <si>
    <t xml:space="preserve">Ato formal de constituição, organograma, atribuições, dedicação da equipe e relatórios periódicos da função.</t>
  </si>
  <si>
    <t xml:space="preserve">QPE-024; QPE-025; QPE-026; QPE-027; QPE-028; QPE-029; QPE-030; QPE-032; QPE-033; QPE-034; QPE-035</t>
  </si>
  <si>
    <t xml:space="preserve">Na ISO 37001:2025 a função passou a se chamar “função antissuborno”.</t>
  </si>
  <si>
    <t xml:space="preserve">AG-ISO-14</t>
  </si>
  <si>
    <t xml:space="preserve">Recursos</t>
  </si>
  <si>
    <t xml:space="preserve">A organização determina e disponibiliza os recursos necessários ao sistema — pessoas, orçamento, tecnologia e apoio especializado?</t>
  </si>
  <si>
    <t xml:space="preserve">Orçamento aprovado da área, quadro de pessoal, ferramentas e contratos de apoio.</t>
  </si>
  <si>
    <t xml:space="preserve">QPE-022; QPE-023; QPE-030; QPE-031</t>
  </si>
  <si>
    <t xml:space="preserve">AG-ISO-20</t>
  </si>
  <si>
    <t xml:space="preserve">Treinamento</t>
  </si>
  <si>
    <t xml:space="preserve">O treinamento em compliance e antissuborno é planejado com base em risco, periódico, adequado a cada público (inclusive parceiros de negócio quando necessário), registrado e avaliado quanto à eficácia?</t>
  </si>
  <si>
    <t xml:space="preserve">Plano anual de treinamento, materiais, listas/logs de participação por público e avaliação de aprendizagem.</t>
  </si>
  <si>
    <t xml:space="preserve">QPE-100; QPE-101; QPE-102; QPE-103; QPE-104; QPE-105; QPE-106; QPE-107; QPE-108; QPE-109; QPE-110; QPE-111; QPE-112; QPE-113; QPE-114; QPE-115; QPE-116; QPE-117; QPE-131</t>
  </si>
  <si>
    <t xml:space="preserve">Na ISO 37001:2025 o treinamento de parceiros de negócio ganhou item próprio.</t>
  </si>
  <si>
    <t xml:space="preserve">AG-ISO-26</t>
  </si>
  <si>
    <t xml:space="preserve">Conscientização</t>
  </si>
  <si>
    <t xml:space="preserve">As pessoas conhecem a política, sua contribuição para o sistema, as consequências do descumprimento e como relatar preocupações?</t>
  </si>
  <si>
    <t xml:space="preserve">Termos de ciência, comunicações sobre canal e Código, testes de conhecimento.</t>
  </si>
  <si>
    <t xml:space="preserve">QPE-224; QPE-122; QPE-123; QPE-065; QPE-107</t>
  </si>
  <si>
    <t xml:space="preserve">AG-ISO-27</t>
  </si>
  <si>
    <t xml:space="preserve">Comunicação</t>
  </si>
  <si>
    <t xml:space="preserve">A organização definiu o que, quando, com quem e como comunicar sobre o sistema, interna e externamente, incluindo parceiros de negócio?</t>
  </si>
  <si>
    <t xml:space="preserve">Plano de comunicação, registros de campanhas e publicações no site institucional.</t>
  </si>
  <si>
    <t xml:space="preserve">QPE-118; QPE-119; QPE-120; QPE-121; QPE-122; QPE-123; QPE-124; QPE-125; QPE-126; QPE-127; QPE-128; QPE-129; QPE-130; QPE-071; QPE-218</t>
  </si>
  <si>
    <t xml:space="preserve">AG-ISO-28</t>
  </si>
  <si>
    <t xml:space="preserve">Controles e procedimentos de compliance</t>
  </si>
  <si>
    <t xml:space="preserve">Existem controles e procedimentos para cumprir as obrigações e mitigar os riscos de compliance, avaliados periodicamente quanto à eficácia?</t>
  </si>
  <si>
    <t xml:space="preserve">Políticas temáticas, procedimentos operacionais e testes de controle do período.</t>
  </si>
  <si>
    <t xml:space="preserve">QPE-073; QPE-074; QPE-075; QPE-076; QPE-077; QPE-078; QPE-079; QPE-080; QPE-081; QPE-083</t>
  </si>
  <si>
    <t xml:space="preserve">AG-ISO-31</t>
  </si>
  <si>
    <t xml:space="preserve">Diligência prévia (due diligence)</t>
  </si>
  <si>
    <t xml:space="preserve">Transações, projetos, atividades, parceiros de negócio e pessoal em categorias de risco de suborno passam por diligência proporcional ao risco, atualizada periodicamente?</t>
  </si>
  <si>
    <t xml:space="preserve">Procedimento de due diligence com classificação de risco, questionários, consultas a bases (CEIS/CNEP/CEPIM) e reavaliações.</t>
  </si>
  <si>
    <t xml:space="preserve">QPE-143; QPE-144; QPE-145; QPE-146; QPE-147; QPE-148; QPE-149; QPE-152; QPE-153; QPE-154; QPE-155; QPE-156; QPE-157; QPE-158; QPE-159; QPE-164; QPE-165; QPE-168</t>
  </si>
  <si>
    <t xml:space="preserve">AG-ISO-32</t>
  </si>
  <si>
    <t xml:space="preserve">Controles financeiros</t>
  </si>
  <si>
    <t xml:space="preserve">Há controles financeiros para o risco de suborno — segregação de funções, alçadas, verificação da contraprestação, documentação de pagamentos e revisão de lançamentos atípicos?</t>
  </si>
  <si>
    <t xml:space="preserve">Fluxos financeiros e contábeis, matriz de alçadas, regras de pagamento contra entrega e relatórios de exceção.</t>
  </si>
  <si>
    <t xml:space="preserve">QPE-132; QPE-133; QPE-134; QPE-135; QPE-136</t>
  </si>
  <si>
    <t xml:space="preserve">AG-ISO-33</t>
  </si>
  <si>
    <t xml:space="preserve">Controles não financeiros (inclui licitações e fusões e aquisições)</t>
  </si>
  <si>
    <t xml:space="preserve">Há controles não financeiros em compras, vendas, contratos públicos, RH, jurídico e operações societárias para gerenciar o risco de suborno?</t>
  </si>
  <si>
    <t xml:space="preserve">Procedimentos de licitações e contratos públicos, controles de contratação de terceiros e política para fusões e aquisições.</t>
  </si>
  <si>
    <t xml:space="preserve">QPE-085; QPE-086; QPE-087; QPE-088; QPE-089; QPE-090; QPE-091; QPE-092; QPE-093; QPE-094; QPE-095; QPE-096; QPE-097; QPE-098; QPE-099; QPE-157; QPE-164; QPE-165; QPE-166; QPE-167</t>
  </si>
  <si>
    <t xml:space="preserve">A ISO 37001:2025 incluiu expressamente fusões e aquisições entre as áreas de controles não financeiros.</t>
  </si>
  <si>
    <t xml:space="preserve">AG-ISO-34</t>
  </si>
  <si>
    <t xml:space="preserve">Compromissos antissuborno</t>
  </si>
  <si>
    <t xml:space="preserve">8.6</t>
  </si>
  <si>
    <t xml:space="preserve">Os parceiros de negócio de risco acima de baixo assumem compromisso contratual de prevenir o suborno, com possibilidade de rescisão em caso de violação?</t>
  </si>
  <si>
    <t xml:space="preserve">Modelo de cláusula anticorrupção adaptada à legislação brasileira e amostra de contratos assinados.</t>
  </si>
  <si>
    <t xml:space="preserve">QPE-072; QPE-160; QPE-161; QPE-162; QPE-163</t>
  </si>
  <si>
    <t xml:space="preserve">AG-ISO-36</t>
  </si>
  <si>
    <t xml:space="preserve">Presentes, hospitalidade, doações e benefícios</t>
  </si>
  <si>
    <t xml:space="preserve">8.7</t>
  </si>
  <si>
    <t xml:space="preserve">Há procedimentos para evitar que presentes, hospitalidades, doações, patrocínios e benefícios semelhantes sejam oferecidos ou recebidos de modo que possa configurar suborno?</t>
  </si>
  <si>
    <t xml:space="preserve">Política de brindes e hospitalidades, política de doações e patrocínios, registros e aprovações.</t>
  </si>
  <si>
    <t xml:space="preserve">QPE-074; QPE-076; QPE-078; QPE-155; QPE-156; QPE-214</t>
  </si>
  <si>
    <t xml:space="preserve">DP1; DP2</t>
  </si>
  <si>
    <t xml:space="preserve">AG-ISO-37</t>
  </si>
  <si>
    <t xml:space="preserve">Controles antissuborno insuficientes</t>
  </si>
  <si>
    <t xml:space="preserve">8.8</t>
  </si>
  <si>
    <t xml:space="preserve">Quando a diligência indica risco que os controles existentes não gerenciam, a organização recusa, suspende ou encerra a relação ou adota medidas adicionais documentadas?</t>
  </si>
  <si>
    <t xml:space="preserve">Regras de decisão pós-diligência, registros de relações recusadas ou condicionadas e planos de mitigação.</t>
  </si>
  <si>
    <t xml:space="preserve">QPE-150; QPE-151; QPE-166; QPE-163</t>
  </si>
  <si>
    <t xml:space="preserve">AG-ISO-38</t>
  </si>
  <si>
    <t xml:space="preserve">Canal de relato de preocupações</t>
  </si>
  <si>
    <t xml:space="preserve">8.9</t>
  </si>
  <si>
    <t xml:space="preserve">Há canais acessíveis a pessoal e terceiros para relatar suspeitas, com opção de anonimato, confidencialidade, proibição de retaliação e orientação a quem relata?</t>
  </si>
  <si>
    <t xml:space="preserve">Página e procedimento do canal, garantias ao denunciante, teste de funcionamento e estatísticas de uso.</t>
  </si>
  <si>
    <t xml:space="preserve">QPE-058; QPE-059; QPE-169; QPE-170; QPE-171; QPE-172; QPE-173; QPE-174; QPE-175; QPE-176; QPE-177; QPE-178; QPE-123</t>
  </si>
  <si>
    <t xml:space="preserve">Diretrizes complementares: ISO 37002:2021 (gestão de denúncias).</t>
  </si>
  <si>
    <t xml:space="preserve">AG-ISO-39</t>
  </si>
  <si>
    <t xml:space="preserve">Investigação e tratamento</t>
  </si>
  <si>
    <t xml:space="preserve">8.10</t>
  </si>
  <si>
    <t xml:space="preserve">Há processo para avaliar, investigar e tratar relatos com investigadores competentes e independentes, confidencialidade, reporte dos resultados e medidas decorrentes?</t>
  </si>
  <si>
    <t xml:space="preserve">Procedimento de apuração com fluxo e prazos, relatórios de investigação anonimizados e medidas aplicadas.</t>
  </si>
  <si>
    <t xml:space="preserve">QPE-036; QPE-179; QPE-180; QPE-181; QPE-182; QPE-183; QPE-184; QPE-186; QPE-187; QPE-188; QPE-189; QPE-190; QPE-191; QPE-192; QPE-193; QPE-194; QPE-195; QPE-196; QPE-197</t>
  </si>
  <si>
    <t xml:space="preserve">AG-ISO-40</t>
  </si>
  <si>
    <t xml:space="preserve">Monitoramento, medição, análise e avaliação</t>
  </si>
  <si>
    <t xml:space="preserve">A organização define o que monitorar e medir, métodos, periodicidade e responsáveis, e avalia o desempenho e a eficácia do sistema?</t>
  </si>
  <si>
    <t xml:space="preserve">Procedimento de monitoramento, painel de indicadores e relatórios periódicos de avaliação.</t>
  </si>
  <si>
    <t xml:space="preserve">QPE-198; QPE-199; QPE-200; QPE-201; QPE-202; QPE-203; QPE-204; QPE-205; QPE-206</t>
  </si>
  <si>
    <t xml:space="preserve">AG-ISO-41</t>
  </si>
  <si>
    <t xml:space="preserve">ISO-43</t>
  </si>
  <si>
    <t xml:space="preserve">Indicadores de compliance</t>
  </si>
  <si>
    <t xml:space="preserve">Há indicadores definidos para medir o desempenho e a eficácia do sistema (treinados, relatos, prazos de apuração, riscos tratados, diligências concluídas)?</t>
  </si>
  <si>
    <t xml:space="preserve">Ficha dos indicadores com fórmula, meta, fonte, periodicidade e série histórica.</t>
  </si>
  <si>
    <t xml:space="preserve">QPE-201; QPE-202; QPE-205</t>
  </si>
  <si>
    <t xml:space="preserve">AG-ISO-43</t>
  </si>
  <si>
    <t xml:space="preserve">ISO-44</t>
  </si>
  <si>
    <t xml:space="preserve">Reporte de compliance</t>
  </si>
  <si>
    <t xml:space="preserve">9.4</t>
  </si>
  <si>
    <t xml:space="preserve">A função de compliance reporta regularmente à alta direção e ao órgão de governança sobre desempenho, não conformidades e riscos, com conteúdo e periodicidade definidos?</t>
  </si>
  <si>
    <t xml:space="preserve">Relatórios periódicos da função e atas de apresentação ao conselho/diretoria.</t>
  </si>
  <si>
    <t xml:space="preserve">QPE-006; QPE-007; QPE-034; QPE-200; QPE-204</t>
  </si>
  <si>
    <t xml:space="preserve">AG-ISO-44</t>
  </si>
  <si>
    <t xml:space="preserve">ISO-49</t>
  </si>
  <si>
    <t xml:space="preserve">Avaliação pela função antissuborno</t>
  </si>
  <si>
    <t xml:space="preserve">A função antissuborno avalia continuamente se o sistema é adequado e eficaz e reporta suas conclusões em intervalos planejados?</t>
  </si>
  <si>
    <t xml:space="preserve">Relatório de avaliação da função com conclusões sobre adequação e eficácia.</t>
  </si>
  <si>
    <t xml:space="preserve">QPE-034; QPE-198; QPE-204</t>
  </si>
  <si>
    <t xml:space="preserve">AG-ISO-49</t>
  </si>
  <si>
    <t xml:space="preserve">Agentes de verificação do Perfil (108)</t>
  </si>
  <si>
    <t xml:space="preserve">Montados a partir da configuração do portal (tipo de revisor, testes, critério e campos comuns K). Parecer preliminar; decisão humana obrigatória.</t>
  </si>
  <si>
    <t xml:space="preserve">ID_AGENTE</t>
  </si>
  <si>
    <t xml:space="preserve">PORTAL</t>
  </si>
  <si>
    <t xml:space="preserve">ID_PERGUNTA</t>
  </si>
  <si>
    <t xml:space="preserve">GRUPO</t>
  </si>
  <si>
    <t xml:space="preserve">ENUNCIADO_PERGUNTA</t>
  </si>
  <si>
    <t xml:space="preserve">EVIDENCIA_SUGERIDA</t>
  </si>
  <si>
    <t xml:space="preserve">TIPO_VERIFICACAO</t>
  </si>
  <si>
    <t xml:space="preserve">REVISOR</t>
  </si>
  <si>
    <t xml:space="preserve">FOCO_DO_REVISOR</t>
  </si>
  <si>
    <t xml:space="preserve">OBJETIVO_DO_AGENTE</t>
  </si>
  <si>
    <t xml:space="preserve">ENTRADAS_AUTORIZADAS</t>
  </si>
  <si>
    <t xml:space="preserve">TESTES_AUTOMATICOS</t>
  </si>
  <si>
    <t xml:space="preserve">TESTES_DOCUMENTAIS</t>
  </si>
  <si>
    <t xml:space="preserve">CRITERIO_DE_SUFICIENCIA</t>
  </si>
  <si>
    <t xml:space="preserve">RESULTADOS_POSSIVEIS</t>
  </si>
  <si>
    <t xml:space="preserve">FORMATO_SAIDA_ESTRUTURADA</t>
  </si>
  <si>
    <t xml:space="preserve">CONDICOES_DE_ESCALONAMENTO</t>
  </si>
  <si>
    <t xml:space="preserve">VALIDACAO_HUMANA_OBRIGATORIA</t>
  </si>
  <si>
    <t xml:space="preserve">VERSAO</t>
  </si>
  <si>
    <t xml:space="preserve">Perfil</t>
  </si>
  <si>
    <t xml:space="preserve">Revisor cadastral e de regularidade</t>
  </si>
  <si>
    <t xml:space="preserve">Dados cadastrais e de regularidade do Perfil. Confira titularidade (razão social/CNPJ), consistência com o comprovante de inscrição e atualidade do dado. Não exija anexo quando o formulário não pede.</t>
  </si>
  <si>
    <t xml:space="preserve">Avaliar a suficiência da resposta e das evidências exclusivamente para esta pergunta, sem emitir nota ou homologação CGU.</t>
  </si>
  <si>
    <t xml:space="preserve">ID_empresa; ID_pergunta; resposta_declarada; aplicabilidade_declarada; arquivos_autorizados; nome_documento; data; pagina_secao; metadados_de_origem; período; permissões_de_acesso.</t>
  </si>
  <si>
    <t xml:space="preserve">Resposta declarada; Documento vinculado quando exigido; Tipo de documento compatível (desenho × execução); Página/seção indicada; Trecho informado encontrado no texto do documento</t>
  </si>
  <si>
    <t xml:space="preserve">Conferir titularidade/CNPJ, órgão emissor, autenticidade por meio autorizado, situação e validade indicada no próprio documento; certidão não solicitada não é evidência substituta.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</si>
  <si>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aderência do dado ao CNPJ da empresa, competência temporal e campo condicionado; Dados declaratórios do Perfil: documentos de apoio sugeridos, não afirmar anexo obrigatório se a pergunta não prevê. Vinculação documental sugerida não torna o anexo obrigatório em todas as perguntas.</t>
  </si>
  <si>
    <t xml:space="preserve">SUFICIENTE_PARA_REVISAO | PARCIAL | INSUFICIENTE | NAO_VERIFICAVEL | NAO_APLICAVEL_PARA_REVISAO</t>
  </si>
  <si>
    <t xml:space="preserve">ID_AGENTE; ID_PERGUNTA; VERSAO_DOCUMENTO; RESPOSTA_DECLARADA; APLICABILIDADE; DOCUMENTOS_ANALISADOS; PAGINAS_TRECHOS; TESTES_EXECUTADOS; RESULTADO_SUGERIDO; JUSTIFICATIVA; LACUNAS; ACAO_SUGERIDA; CONFIANCA_QUALITATIVA; DATA_REVISAO_IA; STATUS_REVISAO_HUMANA; RESPONSAVEL_VALIDACAO; DATA_VALIDACAO_HUMANA; DECISAO_HUMANA</t>
  </si>
  <si>
    <t xml:space="preserve">Documento divergente, inexistente, vencido, dados pessoais sensíveis, baixa legibilidade, contradições, ausência de evidência de execução quando solicitada, questão condicionada sem informação, lacuna no texto-fonte, ou suspeita de manipulação: escalar a revisor humano.</t>
  </si>
  <si>
    <t xml:space="preserve">SIM; não aprovar, pontuar ou alterar resposta oficial automaticamente.</t>
  </si>
  <si>
    <t xml:space="preserve">29/09/2026</t>
  </si>
  <si>
    <t xml:space="preserve">Revisor de dado declaratório</t>
  </si>
  <si>
    <t xml:space="preserve">Campos declaratórios do Perfil. Não exija anexo quando o formulário não pede. Verifique completude, coerência interna com outros campos do Perfil e plausibilidade (datas, períodos, quantidades). Sinalize respostas genéricas que não respondem ao que foi perguntado.</t>
  </si>
  <si>
    <t xml:space="preserve">Resposta declarada; Detalhamento preenchido; Elementos exigidos pelo enunciado</t>
  </si>
  <si>
    <t xml:space="preserve">Conferir coerência da resposta declarada com os dados apresentados; não exigir documentação não prevista na pergunta; marcar como não verificável na falta de fonte.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</si>
  <si>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aderência do dado ao CNPJ da empresa, competência temporal e campo condicionado; Documento de suporte recomendado para a informação declarada; só anexar se o formulário aplicável solicitar. Vinculação documental sugerida não torna o anexo obrigatório em todas as perguntas.</t>
  </si>
  <si>
    <t xml:space="preserve">Revisor de dado quantitativo</t>
  </si>
  <si>
    <t xml:space="preserve">Números e faixas do Perfil. Verifique coerência aritmética entre campos (ex.: total de colaboradores ≥ soma das categorias), plausibilidade com o porte e com a estrutura de integridade declarada, e unidade/período do dado.</t>
  </si>
  <si>
    <t xml:space="preserve">Resposta declarada; Total ≥ soma das categorias (EA16 × EA17–EA19); Plausibilidade numérica</t>
  </si>
  <si>
    <t xml:space="preserve">Conferir período, unidade, população, fonte primária, reconciliação do número informado e coerência com documentos disponibilizados.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</si>
  <si>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Revisor de governança</t>
  </si>
  <si>
    <t xml:space="preserve">Atuação da alta direção e do órgão de governança, instância de integridade, independência e reporte. Exija evidência de APROVAÇÃO por autoridade competente (ata, resolução, termo), data, alcance (inclusive controladas quando citado) e, quando o enunciado pedir, evidência de EXECUÇÃO no período (reuniões, relatórios apreciados).</t>
  </si>
  <si>
    <t xml:space="preserve">Resposta declarada; Documento vinculado quando exigido; Tipo de documento compatível (desenho × execução); Página/seção indicada; Evidência dentro do período avaliado; Elementos exigidos pelo enunciado; Versão e data de aprovação; Trecho informado encontrado no texto do documento; Coerência com a pergunta-mãe</t>
  </si>
  <si>
    <t xml:space="preserve">Conferir autoridade competente, assinatura/validação, vigência, data, escopo, decisões e evidência de execução ou comunicação quando solicitadas.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</si>
  <si>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aderência do dado ao CNPJ da empresa, competência temporal e campo condicionado; Restringir certidões e licenças aos contextos legais/setoriais aplicáveis; não tratar todas como condição universal do Perfil. Vinculação documental sugerida não torna o anexo obrigatório em todas as perguntas.</t>
  </si>
  <si>
    <t xml:space="preserve">Conferir aderência do dado ao CNPJ da empresa, competência temporal e campo condicionado; Na ausência de operação, registrar declaração fundamentada e período, sem fabricar exemplos de execução. Vinculação documental sugerida não torna o anexo obrigatório em todas as perguntas.</t>
  </si>
  <si>
    <t xml:space="preserve">Revisor normativo (políticas e procedimentos)</t>
  </si>
  <si>
    <t xml:space="preserve">Políticas, códigos e procedimentos. Verifique se o documento existe, está aprovado, vigente, em português, e se o TRECHO citado trata exatamente do tema do enunciado (não basta a política genérica). Quando o enunciado pedir aplicação, exija evidência de execução.</t>
  </si>
  <si>
    <t xml:space="preserve">Resposta declarada; Documento vinculado quando exigido; Tipo de documento compatível (desenho × execução); Página/seção indicada; Versão e data de aprovação; Elementos exigidos pelo enunciado; Trecho específico citado; Trecho informado encontrado no texto do documento; Coerência com a pergunta-mãe</t>
  </si>
  <si>
    <t xml:space="preserve">Conferir documento vigente, aprovação, alcance material, trecho correspondente e evidência de divulgação e uso apenas quando a pergunta os pedir.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</si>
  <si>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aderência do dado ao CNPJ da empresa, competência temporal e campo condicionado; Separar dados de perfil de testes de conformidade; conteúdo declaratório não substitui evidência de execução. Vinculação documental sugerida não torna o anexo obrigatório em todas as perguntas.</t>
  </si>
  <si>
    <t xml:space="preserve">Revisor de riscos e terceiros</t>
  </si>
  <si>
    <t xml:space="preserve">Análise de riscos, due diligence, cláusulas contratuais, fusões e aquisições, controladas e parceiros. Diferencie DESENHO (política/metodologia) de EXECUÇÃO (diligências realizadas, matriz do período, contratos assinados). Confira período, critérios de classificação e participação da área de integridade quando pedida.</t>
  </si>
  <si>
    <t xml:space="preserve">Resposta declarada; Documento vinculado quando exigido; Tipo de documento compatível (desenho × execução); Página/seção indicada; Evidência dentro do período avaliado; Elementos exigidos pelo enunciado; Trecho específico citado; Trecho informado encontrado no texto do documento; Coerência com a pergunta-mãe</t>
  </si>
  <si>
    <t xml:space="preserve">Conferir escopo, método, data, responsável, aprovação quando pertinente e evidência de aplicação a caso real; registrar terceiros ou áreas cobertos sem extrapolar a amostra.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</si>
  <si>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aderência do dado ao CNPJ da empresa, competência temporal e campo condicionado; Não confundir indicação metodológica de documento com condição oficial sem cotejo do edital/formulário. Vinculação documental sugerida não torna o anexo obrigatório em todas as perguntas.</t>
  </si>
  <si>
    <t xml:space="preserve">Revisor de publicação e comunicação</t>
  </si>
  <si>
    <t xml:space="preserve">Itens de site, canal de denúncias e comunicação. Exija link público e caminho de navegação quando o enunciado falar em site/página eletrônica; confira idioma (português), acesso direto, atualização e o público alcançado. Print sem URL tem valor limitado.</t>
  </si>
  <si>
    <t xml:space="preserve">Resposta declarada; Documento vinculado quando exigido; Link público (URL) quando o item trata de site; Página/seção indicada; Evidência dentro do período avaliado; Elementos exigidos pelo enunciado; Trecho informado encontrado no texto do documento; Coerência com a pergunta-mãe</t>
  </si>
  <si>
    <t xml:space="preserve">Conferir URL/caminho de acesso ou material enviado, conteúdo efetivamente exibido, público destinatário, data e alcance; não inferir divulgação a partir da existência de minuta.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</si>
  <si>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Agentes de verificação da Conformidade (223) — Essenciais, Pacto e Pró-Ética, nesta ordem</t>
  </si>
  <si>
    <t xml:space="preserve">Montados a partir da configuração do portal (tipo de revisor, testes, critério, elementos exigidos e campos comuns K).</t>
  </si>
  <si>
    <t xml:space="preserve">TRILHA</t>
  </si>
  <si>
    <t xml:space="preserve">NUMERO_CGU</t>
  </si>
  <si>
    <t xml:space="preserve">AREA_GRUPO</t>
  </si>
  <si>
    <t xml:space="preserve">PESO (pts)</t>
  </si>
  <si>
    <t xml:space="preserve">ELEMENTOS_EXIGIDOS</t>
  </si>
  <si>
    <t xml:space="preserve">JANELA_TEMPORAL</t>
  </si>
  <si>
    <t xml:space="preserve">NATUREZA</t>
  </si>
  <si>
    <t xml:space="preserve">STATUS_CONFIGURACAO</t>
  </si>
  <si>
    <t xml:space="preserve">Conferir CNPJ/empresa, período de referência da questão, nome/versão/data/aprovação, integridade do arquivo e trecho específico (página/item). Conferir aprovação por autoridade competente, alcance às controladas, comunicação efetiva e execução registrada. Evidência sugerida não significa obrigatoriedade geral: aplicar a condição e o documento orientativo do ciclo vigente.</t>
  </si>
  <si>
    <t xml:space="preserve">forma de participação da alta direção na supervisão; periodicidade da supervisão; tipo de documentos apresentados; conteúdo dos documentos</t>
  </si>
  <si>
    <t xml:space="preserve">v1 Simples GRC — revisar e congelar</t>
  </si>
  <si>
    <t xml:space="preserve">Conferir CNPJ/empresa, período de referência da questão, nome/versão/data/aprovação, integridade do arquivo e trecho específico (página/item). Conferir responsável nominal, segregação, independência, alocação efetiva de recursos e trilha de reporte. Evidência sugerida não significa obrigatoriedade geral: aplicar a condição e o documento orientativo do ciclo vigente.</t>
  </si>
  <si>
    <t xml:space="preserve">data de instituição ou designação; currículo do responsável; processo de seleção do responsável; órgão competente para contratar e demitir</t>
  </si>
  <si>
    <t xml:space="preserve">Conferir CNPJ/empresa, período de referência da questão, nome/versão/data/aprovação, integridade do arquivo e trecho específico (página/item). Conferir escopo, riscos prioritários, participação das áreas, aprovação, resposta ao risco e revisões efetivas. Evidência sugerida não significa obrigatoriedade geral: aplicar a condição e o documento orientativo do ciclo vigente.</t>
  </si>
  <si>
    <t xml:space="preserve">Conferir CNPJ/empresa, período de referência da questão, nome/versão/data/aprovação, integridade do arquivo e trecho específico (página/item). Conferir aderência do conteúdo à pergunta, públicos cobertos, versão, data, divulgação e execução comprovada. Evidência sugerida não significa obrigatoriedade geral: aplicar a condição e o documento orientativo do ciclo vigente.</t>
  </si>
  <si>
    <t xml:space="preserve">Revisor de treinamento</t>
  </si>
  <si>
    <t xml:space="preserve">Planejamento e realização de treinamentos. Para planejamento, exija plano com cronograma, públicos, temas e responsáveis. Para realização, exija registros de participação do período por público-alvo, conteúdo ministrado e, quando pedido, cobertura mínima e avaliação de aprendizagem. Não invente percentuais além do enunciado.</t>
  </si>
  <si>
    <t xml:space="preserve">Resposta declarada; Documento vinculado quando exigido; Tipo de documento compatível (desenho × execução); Página/seção indicada; Evidência dentro do período avaliado; Elementos exigidos pelo enunciado; Trecho informado encontrado no texto do documento; Coerência com a pergunta-mãe</t>
  </si>
  <si>
    <t xml:space="preserve">Conferir conteúdo ministrado, período de referência, público-alvo, registros de participação e vínculo entre conteúdo e público; não presumir conclusão sem registro.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</si>
  <si>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CNPJ/empresa, período de referência da questão, nome/versão/data/aprovação, integridade do arquivo e trecho específico (página/item). Conferir datas, população-alvo versus público alcançado, conteúdo e registros individuais, sem presumir cobertura. Evidência sugerida não significa obrigatoriedade geral: aplicar a condição e o documento orientativo do ciclo vigente.</t>
  </si>
  <si>
    <t xml:space="preserve">Conferir CNPJ/empresa, período de referência da questão, nome/versão/data/aprovação, integridade do arquivo e trecho específico (página/item). Verificar autonomia do fluxo, proteção de dados e relato, acesso de terceiros, independência da apuração e rastreabilidade. Evidência sugerida não significa obrigatoriedade geral: aplicar a condição e o documento orientativo do ciclo vigente.</t>
  </si>
  <si>
    <t xml:space="preserve">Revisor de execução de controles</t>
  </si>
  <si>
    <t xml:space="preserve">Controles financeiros, contábeis, auditoria, apuração de denúncias, medidas disciplinares e monitoramento. Diferencie a regra (fluxo, alçada, procedimento) da prova de operação (amostras, relatórios, registros do período). Confira segregação de funções e responsáveis.</t>
  </si>
  <si>
    <t xml:space="preserve">Conferir desenho e execução do controle no período, amostra rastreável, autor, data e resultado; existência de política isolada não comprova execução. Comparar a resposta ao trecho/página do documento citado; registrar documento, localização, data-base, correspondência e lacunas. Se conteúdo indisponível/ilegível, usar NAO_VERIFICAVEL; se questão fora do escopo com justificativa comprovada, usar NAO_APLICAVEL_PARA_REVISAO.</t>
  </si>
  <si>
    <t xml:space="preserve">Conferir CNPJ/empresa, período de referência da questão, nome/versão/data/aprovação, integridade do arquivo e trecho específico (página/item). Verificar pertinência material ao setor, publicidade atual, histórico, rastreabilidade e natureza real dos documentos. Evidência sugerida não significa obrigatoriedade geral: aplicar a condição e o documento orientativo do ciclo vigente.</t>
  </si>
  <si>
    <t xml:space="preserve">cargos a que os critérios se aplicam; forma de consideração na seleção; responsáveis pela avaliação</t>
  </si>
  <si>
    <t xml:space="preserve">aplicação aos atuais membros da alta direção; aplicação em controladas/subsidiárias, se houver</t>
  </si>
  <si>
    <t xml:space="preserve">processo de aprovação da versão atual do Código</t>
  </si>
  <si>
    <t xml:space="preserve">como a declaração dos terceiros ocorre; em que momento ocorre</t>
  </si>
  <si>
    <t xml:space="preserve">Conferir CNPJ/empresa, período de referência da questão, nome/versão/data/aprovação, integridade do arquivo e trecho específico (página/item). Conferir trilha entre origem, aprovação, registro e liquidação, período e segregação; resguardar dados sensíveis. Evidência sugerida não significa obrigatoriedade geral: aplicar a condição e o documento orientativo do ciclo vigente.</t>
  </si>
  <si>
    <t xml:space="preserve">Conferir CNPJ/empresa, período de referência da questão, nome/versão/data/aprovação, integridade do arquivo e trecho específico (página/item). Conferir amostragem baseada em risco, escopo dos parceiros, execução antes da contratação e revisão periódica. Evidência sugerida não significa obrigatoriedade geral: aplicar a condição e o documento orientativo do ciclo vigente.</t>
  </si>
  <si>
    <t xml:space="preserve">Conferir CNPJ/empresa, período de referência da questão, nome/versão/data/aprovação, integridade do arquivo e trecho específico (página/item). Conferir definição de indicador, fonte, responsáveis, frequência, linha de base e decisão gerencial documentada. Evidência sugerida não significa obrigatoriedade geral: aplicar a condição e o documento orientativo do ciclo vigente.</t>
  </si>
  <si>
    <t xml:space="preserve">tipos de relatórios produzidos; conteúdo abordado; sistemas ou softwares utilizados</t>
  </si>
  <si>
    <t xml:space="preserve">forma de divulgação dos critérios</t>
  </si>
  <si>
    <t xml:space="preserve">composição do órgão colegiado; atribuições; periodicidade das reuniões</t>
  </si>
  <si>
    <t xml:space="preserve">forma de participação no orçamento</t>
  </si>
  <si>
    <t xml:space="preserve">número de dedicados no Brasil</t>
  </si>
  <si>
    <t xml:space="preserve">número de dedicados</t>
  </si>
  <si>
    <t xml:space="preserve">ferramenta de IA utilizada; forma de aplicação</t>
  </si>
  <si>
    <t xml:space="preserve">sistema/software de aplicação e controle</t>
  </si>
  <si>
    <t xml:space="preserve">método de avaliação do impacto</t>
  </si>
  <si>
    <t xml:space="preserve">verificação do objeto como etapa prévia ao pagamento</t>
  </si>
  <si>
    <t xml:space="preserve">forma de participação nas diligências</t>
  </si>
  <si>
    <t xml:space="preserve">se o fluxo já foi aplicado; informações sobre o caso</t>
  </si>
  <si>
    <t xml:space="preserve">se o afastamento cautelar já foi aplicado</t>
  </si>
  <si>
    <t xml:space="preserve">Agentes de verificação ISO 37301 / 37001 (51)</t>
  </si>
  <si>
    <t xml:space="preserve">Montados a partir da configuração do portal (DB.I, DB.IT, DB.ICR, DB.K). Complementos primeiro, depois reaproveitáveis.</t>
  </si>
  <si>
    <t xml:space="preserve">SECAO</t>
  </si>
  <si>
    <t xml:space="preserve">ID_ITEM</t>
  </si>
  <si>
    <t xml:space="preserve">CLAUSULAS</t>
  </si>
  <si>
    <t xml:space="preserve">TITULO</t>
  </si>
  <si>
    <t xml:space="preserve">ENUNCIADO</t>
  </si>
  <si>
    <t xml:space="preserve">COBERTURA_CGU</t>
  </si>
  <si>
    <t xml:space="preserve">PERGUNTAS_CONFORMIDADE</t>
  </si>
  <si>
    <t xml:space="preserve">PERGUNTAS_PERFIL</t>
  </si>
  <si>
    <t xml:space="preserve">LACUNA</t>
  </si>
  <si>
    <t xml:space="preserve">ISO</t>
  </si>
  <si>
    <t xml:space="preserve">37301 4.1 · 37001 4.1</t>
  </si>
  <si>
    <t xml:space="preserve">Revisor de sistema de gestão (ISO)</t>
  </si>
  <si>
    <t xml:space="preserve">Conferir se existe informação documentada aprovada, vigente e controlada que demonstre o requisito da cláusula; verificar escopo, responsáveis, periodicidade e registros de execução no ciclo avaliado; confrontar com a pergunta CGU correlata apenas quando escopo e período coincidirem. Registrar documento, localização, data-base, correspondência e lacunas. Se conteúdo indisponível/ilegível, usar NAO_VERIFICAVEL.</t>
  </si>
  <si>
    <t xml:space="preserve">Conferir se a evidência demonstra o requisito da cláusula citada (ISO 37301 e/ou ISO 37001) no período; separar exigência da norma, evidência sugerida e documento meramente recebido; não presumir atendimento a partir de pergunta CGU correlata sem confirmar escopo e período; registrar lacunas por cláusula. Parecer é preliminar e não equivale a auditoria de certificação.</t>
  </si>
  <si>
    <t xml:space="preserve">37301 4.2 · 37001 4.2</t>
  </si>
  <si>
    <t xml:space="preserve">37301 4.3 · 37001 4.3</t>
  </si>
  <si>
    <t xml:space="preserve">37301 4.4 · 37001 4.4</t>
  </si>
  <si>
    <t xml:space="preserve">37301 4.5 · 37001 </t>
  </si>
  <si>
    <t xml:space="preserve">37301 5.1.2 · 37001 5.1.3</t>
  </si>
  <si>
    <t xml:space="preserve">37301 5.3.1 · 37001 5.3.1</t>
  </si>
  <si>
    <t xml:space="preserve">37301 5.3.3 / 5.3.4 · 37001 5.3.1</t>
  </si>
  <si>
    <t xml:space="preserve">37301  · 37001 5.3.3</t>
  </si>
  <si>
    <t xml:space="preserve">37301 6.1 · 37001 6.1</t>
  </si>
  <si>
    <t xml:space="preserve">37301 6.2 · 37001 6.2</t>
  </si>
  <si>
    <t xml:space="preserve">37301 6.3 · 37001 6.3</t>
  </si>
  <si>
    <t xml:space="preserve">37301 7.2.1 · 37001 7.2.1</t>
  </si>
  <si>
    <t xml:space="preserve">37301 7.2.2 · 37001 7.2.2</t>
  </si>
  <si>
    <t xml:space="preserve">37301  · 37001 7.2.2</t>
  </si>
  <si>
    <t xml:space="preserve">37301 7.5 · 37001 7.5</t>
  </si>
  <si>
    <t xml:space="preserve">37301 8.1 · 37001 8.1</t>
  </si>
  <si>
    <t xml:space="preserve">37301  · 37001 8.5</t>
  </si>
  <si>
    <t xml:space="preserve">37301 9.1.2 · 37001 </t>
  </si>
  <si>
    <t xml:space="preserve">37301 9.1.5 · 37001 7.5</t>
  </si>
  <si>
    <t xml:space="preserve">37301 9.2 · 37001 9.2</t>
  </si>
  <si>
    <t xml:space="preserve">37301 9.3 · 37001 9.3.1</t>
  </si>
  <si>
    <t xml:space="preserve">37301 9.3 · 37001 9.3.2</t>
  </si>
  <si>
    <t xml:space="preserve">37301 10.1 · 37001 10.1</t>
  </si>
  <si>
    <t xml:space="preserve">37301 10.2 · 37001 10.2</t>
  </si>
  <si>
    <t xml:space="preserve">37301 4.1 (Amd 1:2024) · 37001 4.1</t>
  </si>
  <si>
    <t xml:space="preserve">37301 4.6 · 37001 4.5</t>
  </si>
  <si>
    <t xml:space="preserve">37301 5.1.1 · 37001 5.1.1</t>
  </si>
  <si>
    <t xml:space="preserve">37301 5.1.1 · 37001 5.1.2</t>
  </si>
  <si>
    <t xml:space="preserve">37301 5.1.3 · 37001 5.3.2</t>
  </si>
  <si>
    <t xml:space="preserve">37301 5.2 · 37001 5.2</t>
  </si>
  <si>
    <t xml:space="preserve">37301 5.3.2 · 37001 5.3.2</t>
  </si>
  <si>
    <t xml:space="preserve">37301 7.1 · 37001 7.1</t>
  </si>
  <si>
    <t xml:space="preserve">37301 7.2.3 · 37001 7.3</t>
  </si>
  <si>
    <t xml:space="preserve">37301 7.3 · 37001 7.3</t>
  </si>
  <si>
    <t xml:space="preserve">37301 7.4 · 37001 7.4</t>
  </si>
  <si>
    <t xml:space="preserve">37301 8.2 · 37001 </t>
  </si>
  <si>
    <t xml:space="preserve">37301  · 37001 8.2</t>
  </si>
  <si>
    <t xml:space="preserve">37301  · 37001 8.3</t>
  </si>
  <si>
    <t xml:space="preserve">37301  · 37001 8.4</t>
  </si>
  <si>
    <t xml:space="preserve">37301  · 37001 8.6</t>
  </si>
  <si>
    <t xml:space="preserve">37301  · 37001 8.7</t>
  </si>
  <si>
    <t xml:space="preserve">37301  · 37001 8.8</t>
  </si>
  <si>
    <t xml:space="preserve">37301 8.3 · 37001 8.9</t>
  </si>
  <si>
    <t xml:space="preserve">37301 8.4 · 37001 8.10</t>
  </si>
  <si>
    <t xml:space="preserve">37301 9.1.1 · 37001 9.1</t>
  </si>
  <si>
    <t xml:space="preserve">37301 9.1.3 · 37001 9.1</t>
  </si>
  <si>
    <t xml:space="preserve">37301 9.1.4 · 37001 9.4</t>
  </si>
  <si>
    <t xml:space="preserve">37301  · 37001 9.4</t>
  </si>
  <si>
    <t xml:space="preserve">Checagem com a Lei nº 14.133/2021 (Licitações) — checklist do portal, cruzado com Pacto, Pró-Ética e ISO</t>
  </si>
  <si>
    <t xml:space="preserve">Fonte: portal (checklist LIC). Tipo "cruzamento" = coberto por respostas já dadas; "documento" = habilitação do edital, fora do programa de integridade. Base: arts. 25 §4º, 60 IV e 163 p.ú.; Decreto 12.304/2024; Portaria CGU 226/2025.</t>
  </si>
  <si>
    <t xml:space="preserve">Item do checklist</t>
  </si>
  <si>
    <t xml:space="preserve">Tipo</t>
  </si>
  <si>
    <t xml:space="preserve">Nº de itens vinculados</t>
  </si>
  <si>
    <t xml:space="preserve">Itens vinculados (IDs)</t>
  </si>
  <si>
    <t xml:space="preserve">Primeiros itens (texto)</t>
  </si>
  <si>
    <t xml:space="preserve">Orientação do portal</t>
  </si>
  <si>
    <t xml:space="preserve">Status (editar)</t>
  </si>
  <si>
    <t xml:space="preserve">Observações</t>
  </si>
  <si>
    <t xml:space="preserve">LIC-01</t>
  </si>
  <si>
    <t xml:space="preserve">Perfil de fornecedor do poder público</t>
  </si>
  <si>
    <t xml:space="preserve">Cruzamento com respostas já dadas</t>
  </si>
  <si>
    <t xml:space="preserve">IP4; IP6; IP7; IP9</t>
  </si>
  <si>
    <t xml:space="preserve">IP4 Perfil de participação da empresa em licitações públicas.; IP6 Faixa percentual do faturamento proveniente de contratos públicos vigentes.; IP7 Entre 2022 e 2025, utilizou intermediários em interações com o poder público?; IP9 É concessionária ou permissionária de serviço público?</t>
  </si>
  <si>
    <t xml:space="preserve">Identifica se a empresa licita, o percentual do faturamento vindo de contratos públicos e o uso de intermediários.</t>
  </si>
  <si>
    <t xml:space="preserve">A verificar</t>
  </si>
  <si>
    <t xml:space="preserve">LIC-02</t>
  </si>
  <si>
    <t xml:space="preserve">Programa de integridade comprovado (10 medidas)</t>
  </si>
  <si>
    <t xml:space="preserve">QPE-006; QPE-024; QPE-041; QPE-051; QPE-073; QPE-107; QPE-128; QPE-169; QPE-218; QPE-221</t>
  </si>
  <si>
    <t xml:space="preserve">QPE-006 (2.2) A alta direção da empresa supervisiona a implantação e a aplicação do programa de integridade, por meio do rec; QPE-024 (4.1) A empresa possui área específica ou pessoa responsável pela aplicação do programa de integridade? Se sim, info; QPE-041 (6.2) No período avaliado, a empresa realizou análise de riscos para integridade, incluindo uma análise que contempl; QPE-051 (7.1) A empresa possui Código de Ética e Conduta, ou documento equivalente, disponível em português? (Medida mínima ; QPE-073 (9.1.1) A empresa possui políticas e procedimentos de integridade que: vedam expressamente a concessão de vantagens in; QPE-107 (11.3.1) No período avaliado, a empresa realizou treinamentos: direcionados a todos os empregados, abordando conteúdo g …</t>
  </si>
  <si>
    <t xml:space="preserve">Base para o critério de desempate (art. 60, IV) e para a comprovação exigida pelo Decreto nº 12.304/2024 e pela Portaria Normativa CGU nº 226/2025.</t>
  </si>
  <si>
    <t xml:space="preserve">LIC-03</t>
  </si>
  <si>
    <t xml:space="preserve">Due diligence de terceiros e checagem em listas restritivas (CEIS/CNEP/CEPIM)</t>
  </si>
  <si>
    <t xml:space="preserve">QPE-144; QPE-147; QPE-152; QPE-159; QPE-160; QPE-161; QPE-163; QPE-164; QPE-168; QPE-143; QPE-145; QPE-146; QPE-148; QPE-149; QPE-150; QPE-151; QPE-153; QPE-154; QPE-155; QPE-156; QPE-157; QPE-158; QPE-162; QPE-165; QPE-166; QPE-167; ISO-34</t>
  </si>
  <si>
    <t xml:space="preserve">QPE-144 (16.1.2) Em relação à realização de diligências para contratação e supervisão de terceiros, a empresa possui políticas ; QPE-147 (16.1.5) Em relação à realização de diligências para contratação e supervisão de terceiros, a empresa possui políticas ; QPE-152 (16.1.10) Em relação à realização de diligências para contratação e supervisão de terceiros, a empresa possui políticas ; QPE-159 (16.6) A empresa realizou diligências de integridade em relação aos terceiros com os quais estabeleceu relações negoc; QPE-160 (17.1) A empresa possui políticas ou procedimentos que exigem a utilização de cláusula, nos contratos celebrados com ; QPE-161 (17.2) A empresa inclui, nos contratos celebrados com terceiros, cláusula estabelecendo a obrigatoriedade do cumprime …</t>
  </si>
  <si>
    <t xml:space="preserve">A política e o procedimento já respondidos no Pró-Ética cobrem a exigência (reforçado pelo ISO-34, que trata expressamente de controles não financeiros em licitações e contratos públicos); falta apenas a checagem específica por edital/subcontratado.</t>
  </si>
  <si>
    <t xml:space="preserve">LIC-04</t>
  </si>
  <si>
    <t xml:space="preserve">Histórico de investigações, processos ou condenações por fraude licitatória</t>
  </si>
  <si>
    <t xml:space="preserve">PI11 Há investigações, processos ou condenações da empresa relativos a corrupção, improbidade ou fraude licitatória</t>
  </si>
  <si>
    <t xml:space="preserve">Já perguntado no Perfil; reaproveitado aqui sem necessidade de nova resposta.</t>
  </si>
  <si>
    <t xml:space="preserve">LIC-05</t>
  </si>
  <si>
    <t xml:space="preserve">Habilitação jurídica (atos constitutivos, alterações, procuração do representante)</t>
  </si>
  <si>
    <t xml:space="preserve">Documento de habilitação do edital</t>
  </si>
  <si>
    <t xml:space="preserve">Documento próprio de cada licitação. O Perfil registra o CNPJ e o representante, mas não substitui o documento a ser anexado no edital.</t>
  </si>
  <si>
    <t xml:space="preserve">LIC-06</t>
  </si>
  <si>
    <t xml:space="preserve">Certidões negativas (federal, estadual, municipal, FGTS e trabalhista)</t>
  </si>
  <si>
    <t xml:space="preserve">Fora do escopo do questionário CGU — é documento de habilitação geral, não item de programa de integridade. Mantenha sempre dentro da validade.</t>
  </si>
  <si>
    <t xml:space="preserve">LIC-07</t>
  </si>
  <si>
    <t xml:space="preserve">Atestados de capacidade técnica</t>
  </si>
  <si>
    <t xml:space="preserve">Específico do objeto de cada edital; não há pergunta equivalente no Pacto Brasil ou no Pró-Ética.</t>
  </si>
  <si>
    <t xml:space="preserve">LIC-08</t>
  </si>
  <si>
    <t xml:space="preserve">Índices e balanço econômico-financeiro</t>
  </si>
  <si>
    <t xml:space="preserve">Exigência de habilitação econômico-financeira; documento contábil, fora do escopo do programa de integridade.</t>
  </si>
  <si>
    <t xml:space="preserve">LIC-09</t>
  </si>
  <si>
    <t xml:space="preserve">Declaração de cumprimento do art. 7º, XXXIII da Constituição (trabalho de menor)</t>
  </si>
  <si>
    <t xml:space="preserve">Declaração padrão do processo licitatório; não é perguntada no questionário de integridade.</t>
  </si>
  <si>
    <t xml:space="preserve">LIC-10</t>
  </si>
  <si>
    <t xml:space="preserve">Cláusula de integridade e diligência para subcontratados no contrato</t>
  </si>
  <si>
    <t xml:space="preserve">ISO-36 Compromissos antissuborno</t>
  </si>
  <si>
    <t xml:space="preserve">Coberto pelo ISO-36 (compromisso contratual de parceiros de negócio contra o suborno, com possibilidade de rescisão) — falta redigir a cláusula específica de cada edital a partir desse compromisso já validado.</t>
  </si>
  <si>
    <t xml:space="preserve">LIC-11</t>
  </si>
  <si>
    <t xml:space="preserve">Ficha de acompanhamento por edital (prazo, exigências, responsável)</t>
  </si>
  <si>
    <t xml:space="preserve">Controle operacional de rotina, não item de conformidade — mantenha uma por edital em disputa.</t>
  </si>
  <si>
    <t xml:space="preserve">LIC-12</t>
  </si>
  <si>
    <t xml:space="preserve">Inventário de obrigações legais que inclua a Lei de Licitações (ISO 37301)</t>
  </si>
  <si>
    <t xml:space="preserve">ISO-06 Obrigações de compliance</t>
  </si>
  <si>
    <t xml:space="preserve">O ISO-06 exige um inventário atualizado de obrigações de compliance (leis, regulamentos, licenças, contratos); a Lei nº 14.133/2021 deve constar nesse inventário para empresas que licitam. Hoje sinalizado como lacuna típica de certificação ISO em relação ao CGU.</t>
  </si>
  <si>
    <t xml:space="preserve">Resumo do status</t>
  </si>
  <si>
    <t xml:space="preserve">Atende</t>
  </si>
  <si>
    <t xml:space="preserve">Parcial</t>
  </si>
  <si>
    <t xml:space="preserve">Falta</t>
  </si>
  <si>
    <t xml:space="preserve">Não se aplica</t>
  </si>
  <si>
    <t xml:space="preserve">Perguntas marcadas como relevantes para licitações (trilha 10.x ou inciso VIII do art. 57)</t>
  </si>
  <si>
    <t xml:space="preserve">Fonte: portal — marca "Licitações" nas perguntas QPE.</t>
  </si>
  <si>
    <t xml:space="preserve">Conflitos e cruzamentos: 108 agentes Perfil × Conformidade</t>
  </si>
  <si>
    <t xml:space="preserve">Fonte: portal (DB.C). Cada agente confronta uma resposta do Perfil com as perguntas de Conformidade correlatas.</t>
  </si>
  <si>
    <t xml:space="preserve">ID_AGENTE_CONFLITO</t>
  </si>
  <si>
    <t xml:space="preserve">ID_PERGUNTA_PERFIL</t>
  </si>
  <si>
    <t xml:space="preserve">ENUNCIADO_PERFIL</t>
  </si>
  <si>
    <t xml:space="preserve">TIPO_VINCULO</t>
  </si>
  <si>
    <t xml:space="preserve">ID_PERGUNTAS_CONFORMIDADE</t>
  </si>
  <si>
    <t xml:space="preserve">Nº NO FORMULARIO</t>
  </si>
  <si>
    <t xml:space="preserve">INCOMPATIBILIDADE_POTENCIAL</t>
  </si>
  <si>
    <t xml:space="preserve">TESTE_CRUZADO</t>
  </si>
  <si>
    <t xml:space="preserve">CONDICAO_PARA_ALERTA</t>
  </si>
  <si>
    <t xml:space="preserve">EXCECOES_E_FALSOS_POSITIVOS</t>
  </si>
  <si>
    <t xml:space="preserve">AG-CONFL-DB1</t>
  </si>
  <si>
    <t xml:space="preserve">CONTEXTUAL</t>
  </si>
  <si>
    <t xml:space="preserve">Razão social, CNPJ ou denominação histórica divergente da identificação de proprietários divulgada no site, quando a página contiver esses dados.</t>
  </si>
  <si>
    <t xml:space="preserve">Comparar mesmo CNPJ, razão social, data de alteração e versão da página; ausência do CNPJ na página não é contradição automática.</t>
  </si>
  <si>
    <t xml:space="preserve">AG-CONFL-DB2</t>
  </si>
  <si>
    <t xml:space="preserve">SEM_VINCULO_DIRETO</t>
  </si>
  <si>
    <t xml:space="preserve">Nenhuma incompatibilidade com pergunta de Conformidade identificável de forma confiável apenas por este campo cadastral.</t>
  </si>
  <si>
    <t xml:space="preserve">Conferir o dado no Perfil e nos documentos cadastrais próprios, sem exigir política ou criar vínculo com Conformidade.</t>
  </si>
  <si>
    <t xml:space="preserve">AG-CONFL-DB3</t>
  </si>
  <si>
    <t xml:space="preserve">AG-CONFL-DB3-1</t>
  </si>
  <si>
    <t xml:space="preserve">AG-CONFL-DB4</t>
  </si>
  <si>
    <t xml:space="preserve">AG-CONFL-DB5</t>
  </si>
  <si>
    <t xml:space="preserve">AG-CONFL-DB6</t>
  </si>
  <si>
    <t xml:space="preserve">AG-CONFL-DB7</t>
  </si>
  <si>
    <t xml:space="preserve">AG-CONFL-DB8</t>
  </si>
  <si>
    <t xml:space="preserve">AG-CONFL-DB9</t>
  </si>
  <si>
    <t xml:space="preserve">AG-CONFL-DB10</t>
  </si>
  <si>
    <t xml:space="preserve">AG-CONFL-EA1</t>
  </si>
  <si>
    <t xml:space="preserve">QPE-207; QPE-041</t>
  </si>
  <si>
    <t xml:space="preserve">23.1.1; 6.2</t>
  </si>
  <si>
    <t xml:space="preserve">Atividades econômicas/segmentos declarados não aparecem na divulgação institucional ou no universo de atividades considerado pela avaliação de riscos.</t>
  </si>
  <si>
    <t xml:space="preserve">Comparar CNAE/atividades efetivas com site e escopo da matriz de risco no mesmo período; CNAE por si só não prova execução operacional.</t>
  </si>
  <si>
    <t xml:space="preserve">AG-CONFL-EA2</t>
  </si>
  <si>
    <t xml:space="preserve">AG-CONFL-EA3</t>
  </si>
  <si>
    <t xml:space="preserve">AG-CONFL-EA4</t>
  </si>
  <si>
    <t xml:space="preserve">Forma societária, sede ou governança declarada incompatível com dados institucionais divulgados, apenas quando o item de Conformidade os informar.</t>
  </si>
  <si>
    <t xml:space="preserve">Verificar atos societários, data-base e conteúdo efetivamente solicitado na pergunta vinculada.</t>
  </si>
  <si>
    <t xml:space="preserve">AG-CONFL-EA5</t>
  </si>
  <si>
    <t xml:space="preserve">QPE-041; QPE-079</t>
  </si>
  <si>
    <t xml:space="preserve">6.2; 9.2.1</t>
  </si>
  <si>
    <t xml:space="preserve">Porte/faixa de receita declarados diferem do porte tomado como premissa para dimensionar controles e análise de riscos.</t>
  </si>
  <si>
    <t xml:space="preserve">Comparar períodos e definição de porte; diferença de faixa não demonstra falha de integridade automaticamente.</t>
  </si>
  <si>
    <t xml:space="preserve">AG-CONFL-EA6</t>
  </si>
  <si>
    <t xml:space="preserve">AG-CONFL-EA7</t>
  </si>
  <si>
    <t xml:space="preserve">AG-CONFL-EA8</t>
  </si>
  <si>
    <t xml:space="preserve">QPE-041; QPE-042; QPE-079</t>
  </si>
  <si>
    <t xml:space="preserve">6.2; 6.3.1; 9.2.1</t>
  </si>
  <si>
    <t xml:space="preserve">Atuação geográfica ou internacional informada não foi considerada no escopo de risco ou nas regras aplicáveis alegadamente proporcionais ao negócio.</t>
  </si>
  <si>
    <t xml:space="preserve">Verificar países/UFs, operação efetiva, competência e riscos; lei estrangeira não é exigência de toda empresa.</t>
  </si>
  <si>
    <t xml:space="preserve">AG-CONFL-EA9</t>
  </si>
  <si>
    <t xml:space="preserve">AG-CONFL-EA10</t>
  </si>
  <si>
    <t xml:space="preserve">AG-CONFL-EA10-1</t>
  </si>
  <si>
    <t xml:space="preserve">AG-CONFL-EA10-2</t>
  </si>
  <si>
    <t xml:space="preserve">AG-CONFL-EA11</t>
  </si>
  <si>
    <t xml:space="preserve">QPE-025; QPE-041; QPE-054</t>
  </si>
  <si>
    <t xml:space="preserve">4.2.1; 6.2; 7.2.3</t>
  </si>
  <si>
    <t xml:space="preserve">Empresas do grupo/subsidiárias declaradas no Perfil não constam do escopo descrito para o programa, o código ou a avaliação de riscos, embora Conformidade afirme abrangência integral.</t>
  </si>
  <si>
    <t xml:space="preserve">Comparar pessoas jurídicas, alcance do programa, controladas e data; políticas locais podem diferir sem constituir conflito.</t>
  </si>
  <si>
    <t xml:space="preserve">AG-CONFL-EA12</t>
  </si>
  <si>
    <t xml:space="preserve">AG-CONFL-EA12-1</t>
  </si>
  <si>
    <t xml:space="preserve">AG-CONFL-EA12-2</t>
  </si>
  <si>
    <t xml:space="preserve">AG-CONFL-EA12-3</t>
  </si>
  <si>
    <t xml:space="preserve">AG-CONFL-EA13</t>
  </si>
  <si>
    <t xml:space="preserve">DIRETO</t>
  </si>
  <si>
    <t xml:space="preserve">QPE-008; QPE-024; QPE-025; QPE-033</t>
  </si>
  <si>
    <t xml:space="preserve">2.4; 4.1; 4.2.1; 5.1</t>
  </si>
  <si>
    <t xml:space="preserve">Organograma e reporte declarados no Perfil não correspondem à área, responsáveis, órgão colegiado ou acesso à direção afirmados em Conformidade.</t>
  </si>
  <si>
    <t xml:space="preserve">Cruzar organograma vigente, ato de nomeação, linha de reporte e data de referência.</t>
  </si>
  <si>
    <t xml:space="preserve">AG-CONFL-EA14</t>
  </si>
  <si>
    <t xml:space="preserve">DIRETO_CONDICIONAL</t>
  </si>
  <si>
    <t xml:space="preserve">QPE-164; QPE-165; QPE-166; QPE-167; QPE-168</t>
  </si>
  <si>
    <t xml:space="preserve">18.1.1; 18.1.2; 18.1.3; 18.1.4; 18.2</t>
  </si>
  <si>
    <t xml:space="preserve">Perfil registra fusão/aquisição no período, mas Conformidade nega operações, declara não aplicável ou informa diligências sem correspondência à transação.</t>
  </si>
  <si>
    <t xml:space="preserve">Relacionar cada operação por data, entidade e instrumento; política de M&amp;A pode existir mesmo sem operação.</t>
  </si>
  <si>
    <t xml:space="preserve">AG-CONFL-EA14-1</t>
  </si>
  <si>
    <t xml:space="preserve">AG-CONFL-EA15</t>
  </si>
  <si>
    <t xml:space="preserve">QPE-041; QPE-159; QPE-161</t>
  </si>
  <si>
    <t xml:space="preserve">6.2; 16.6; 17.2</t>
  </si>
  <si>
    <t xml:space="preserve">Parcerias/consórcios informados não foram considerados no escopo de terceiros/contratos ou na avaliação de riscos apesar de declaração abrangente.</t>
  </si>
  <si>
    <t xml:space="preserve">Verificar natureza jurídica da parceria, parte contratada, janela temporal e se é terceiro sujeito ao controle.</t>
  </si>
  <si>
    <t xml:space="preserve">AG-CONFL-EA15-1</t>
  </si>
  <si>
    <t xml:space="preserve">AG-CONFL-EA16</t>
  </si>
  <si>
    <t xml:space="preserve">QPE-030; QPE-107; QPE-114; QPE-122</t>
  </si>
  <si>
    <t xml:space="preserve">4.2.6; 11.3.1; 11.4.2; 12.3.1</t>
  </si>
  <si>
    <t xml:space="preserve">Quadro de pessoal declarado difere do denominador usado nos indicadores de treinamento, alcance de comunicação ou dimensionamento da equipe de integridade.</t>
  </si>
  <si>
    <t xml:space="preserve">Reconciliar população (CLT, terceirizados, estagiários), datas, público-alvo, unidades e exclusões justificadas.</t>
  </si>
  <si>
    <t xml:space="preserve">AG-CONFL-EA17</t>
  </si>
  <si>
    <t xml:space="preserve">AG-CONFL-EA18</t>
  </si>
  <si>
    <t xml:space="preserve">AG-CONFL-EA19</t>
  </si>
  <si>
    <t xml:space="preserve">AG-CONFL-EA20</t>
  </si>
  <si>
    <t xml:space="preserve">QPE-065; QPE-122; QPE-170; QPE-178</t>
  </si>
  <si>
    <t xml:space="preserve">7.2.14; 12.3.1; 19.2.1; 19.4</t>
  </si>
  <si>
    <t xml:space="preserve">Perfil declara trabalhadores sem internet no trabalho, mas Conformidade sustenta acesso amplo a código, comunicação ou canal somente por meio digital.</t>
  </si>
  <si>
    <t xml:space="preserve">Conferir meios físicos/alternativos efetivos e público atingido; baixo acesso digital não implica ausência de acesso.</t>
  </si>
  <si>
    <t xml:space="preserve">AG-CONFL-IP1</t>
  </si>
  <si>
    <t xml:space="preserve">Atividades reguladas e licenças relevantes declaradas ficaram fora do mapeamento de risco ou das rotinas de integridade afirmadas.</t>
  </si>
  <si>
    <t xml:space="preserve">Comparar atividade/licença e exposição real; licenciamento não é automaticamente item de regularidade exigido por todas as questões.</t>
  </si>
  <si>
    <t xml:space="preserve">AG-CONFL-IP1-1</t>
  </si>
  <si>
    <t xml:space="preserve">AG-CONFL-IP2</t>
  </si>
  <si>
    <t xml:space="preserve">AG-CONFL-IP3</t>
  </si>
  <si>
    <t xml:space="preserve">AG-CONFL-IP4</t>
  </si>
  <si>
    <t xml:space="preserve">QPE-085; QPE-086; QPE-087; QPE-088; QPE-211</t>
  </si>
  <si>
    <t xml:space="preserve">10.1.1; 10.1.2; 10.1.3; 10.2.1; 23.1.5</t>
  </si>
  <si>
    <t xml:space="preserve">Perfil declara participação em licitações, mas Conformidade declara não aplicável o controle sobre licitações ou informa divulgação pública incompatível.</t>
  </si>
  <si>
    <t xml:space="preserve">Confrontar editais, participações e período; política pode existir mesmo sem licitação realizada.</t>
  </si>
  <si>
    <t xml:space="preserve">AG-CONFL-IP5</t>
  </si>
  <si>
    <t xml:space="preserve">QPE-085; QPE-086; QPE-136; QPE-212</t>
  </si>
  <si>
    <t xml:space="preserve">10.1.1; 10.1.2; 14.5; 23.1.6</t>
  </si>
  <si>
    <t xml:space="preserve">Contratos/receita do setor público informados divergem da declaração de inexistência de contratos, da publicidade contratual ou do escopo do controle aplicável.</t>
  </si>
  <si>
    <t xml:space="preserve">Reconciliar contrato, ente, vigência, receita reconhecida e critério de divulgação; valores de receita e contrato não são necessariamente iguais.</t>
  </si>
  <si>
    <t xml:space="preserve">AG-CONFL-IP6</t>
  </si>
  <si>
    <t xml:space="preserve">AG-CONFL-IP7</t>
  </si>
  <si>
    <t xml:space="preserve">QPE-076; QPE-077; QPE-159; QPE-161</t>
  </si>
  <si>
    <t xml:space="preserve">9.1.4; 9.1.5; 16.6; 17.2</t>
  </si>
  <si>
    <t xml:space="preserve">Perfil informa intermediários perante o poder público, mas a Conformidade afirma que não houve terceiros sujeitos a diligência ou contratos/cláusulas relacionados.</t>
  </si>
  <si>
    <t xml:space="preserve">Cruzar intermediário, objeto, contratos, diligência e período; verificar se o intermediário se enquadra no item.</t>
  </si>
  <si>
    <t xml:space="preserve">AG-CONFL-IP7-1</t>
  </si>
  <si>
    <t xml:space="preserve">AG-CONFL-IP8</t>
  </si>
  <si>
    <t xml:space="preserve">QPE-085; QPE-159; QPE-161</t>
  </si>
  <si>
    <t xml:space="preserve">10.1.1; 16.6; 17.2</t>
  </si>
  <si>
    <t xml:space="preserve">Subcontratações de contratos públicos informadas no Perfil são omitidas do universo de terceiros examinados ou Conformidade declara inexistência desses terceiros.</t>
  </si>
  <si>
    <t xml:space="preserve">Vincular subcontratado ao contrato público, período e escopo da diligência.</t>
  </si>
  <si>
    <t xml:space="preserve">AG-CONFL-IP8-1</t>
  </si>
  <si>
    <t xml:space="preserve">AG-CONFL-IP9</t>
  </si>
  <si>
    <t xml:space="preserve">QPE-041; QPE-212</t>
  </si>
  <si>
    <t xml:space="preserve">6.2; 23.1.6</t>
  </si>
  <si>
    <t xml:space="preserve">Concessões/permissões declaradas não são refletidas no conjunto de contratos públicos divulgado ou nas premissas de risco, quando pertinentes.</t>
  </si>
  <si>
    <t xml:space="preserve">Separar concessão/permissão de contrato administrativo comum; reconciliar entidade e vigência.</t>
  </si>
  <si>
    <t xml:space="preserve">AG-CONFL-IP9-1</t>
  </si>
  <si>
    <t xml:space="preserve">AG-CONFL-IP10</t>
  </si>
  <si>
    <t xml:space="preserve">Perfil informa incentivos/benefícios fiscais, mas Conformidade nega ou divulga de modo incompatível a existência, natureza, período ou beneficiário.</t>
  </si>
  <si>
    <t xml:space="preserve">Conferir atos de concessão, valores, períodos e informação publicada no site; ausência em site pode ser lacuna, não contradição factual.</t>
  </si>
  <si>
    <t xml:space="preserve">AG-CONFL-IP10-1</t>
  </si>
  <si>
    <t xml:space="preserve">AG-CONFL-DP1</t>
  </si>
  <si>
    <t xml:space="preserve">QPE-078; QPE-155; QPE-214</t>
  </si>
  <si>
    <t xml:space="preserve">9.1.6; 16.2; 23.1.8</t>
  </si>
  <si>
    <t xml:space="preserve">Patrocínios ou incentivo declarados no Perfil divergem da declaração de inexistência de patrocínios, dos registros de diligência ou da divulgação pública.</t>
  </si>
  <si>
    <t xml:space="preserve">Conciliar cada operação por beneficiário, data, valor e instrumento; condição de aplicabilidade varia por pergunta.</t>
  </si>
  <si>
    <t xml:space="preserve">AG-CONFL-DP1-1</t>
  </si>
  <si>
    <t xml:space="preserve">AG-CONFL-DP1-2</t>
  </si>
  <si>
    <t xml:space="preserve">AG-CONFL-DP2</t>
  </si>
  <si>
    <t xml:space="preserve">QPE-078; QPE-156; QPE-214</t>
  </si>
  <si>
    <t xml:space="preserve">9.1.6; 16.3; 23.1.8</t>
  </si>
  <si>
    <t xml:space="preserve">Doações declaradas no Perfil não correspondem à declaração de ausência de doações, aos controles de diligência relatados ou à divulgação de beneficiários.</t>
  </si>
  <si>
    <t xml:space="preserve">Comparar destinatários, modalidade, data, valor e período; doação inexistente não exige amostra de execução.</t>
  </si>
  <si>
    <t xml:space="preserve">AG-CONFL-DP2-1</t>
  </si>
  <si>
    <t xml:space="preserve">AG-CONFL-PI1</t>
  </si>
  <si>
    <t xml:space="preserve">QPE-024; QPE-025; QPE-206</t>
  </si>
  <si>
    <t xml:space="preserve">4.1; 4.2.1; 22.3</t>
  </si>
  <si>
    <t xml:space="preserve">Ano de formalização do programa é posterior a atos, relatórios ou ciclos de monitoramento apresentados como execução do mesmo programa.</t>
  </si>
  <si>
    <t xml:space="preserve">Distinguir práticas anteriores à formalização de execução posterior; comparar documentos datados.</t>
  </si>
  <si>
    <t xml:space="preserve">AG-CONFL-PI2</t>
  </si>
  <si>
    <t xml:space="preserve">QPE-024; QPE-025; QPE-026; QPE-027; QPE-028; QPE-029; QPE-030; QPE-033</t>
  </si>
  <si>
    <t xml:space="preserve">4.1; 4.2.1; 4.2.2; 4.2.3; 4.2.4; 4.2.5; 4.2.6; 5.1</t>
  </si>
  <si>
    <t xml:space="preserve">Equipe, dedicação exclusiva, representantes geográficos ou reporte declarados no Perfil diferem da estrutura/dedicação/independência afirmadas em Conformidade.</t>
  </si>
  <si>
    <t xml:space="preserve">Confrontar folha/lotação agregada, organograma, portaria e período; não presumir que todo responsável trabalha exclusivamente em integridade.</t>
  </si>
  <si>
    <t xml:space="preserve">AG-CONFL-PI3</t>
  </si>
  <si>
    <t xml:space="preserve">AG-CONFL-PI4</t>
  </si>
  <si>
    <t xml:space="preserve">AG-CONFL-PI5</t>
  </si>
  <si>
    <t xml:space="preserve">QPE-037; QPE-041; QPE-042; QPE-043; QPE-049; QPE-050</t>
  </si>
  <si>
    <t xml:space="preserve">6.1; 6.2; 6.3.1; 6.3.2; 6.4; 6.5</t>
  </si>
  <si>
    <t xml:space="preserve">Riscos de integridade apontados no Perfil não aparecem na matriz de riscos apresentada como completa ou recebem tratamento declarado incompatível.</t>
  </si>
  <si>
    <t xml:space="preserve">Confrontar descrições e categorias equivalentes e data de avaliação; diferenças de nomenclatura não bastam.</t>
  </si>
  <si>
    <t xml:space="preserve">AG-CONFL-PI6</t>
  </si>
  <si>
    <t xml:space="preserve">QPE-172; QPE-187; QPE-197; QPE-203</t>
  </si>
  <si>
    <t xml:space="preserve">19.2.3; 20.5; 21.2; 22.2.3</t>
  </si>
  <si>
    <t xml:space="preserve">Perfil registra denúncias de corrupção/fraude, mas Conformidade declara ausência de denúncias ou de apuração, ou apresenta estatística incompatível no mesmo período.</t>
  </si>
  <si>
    <t xml:space="preserve">Separar denúncia recebida, admitida, apurada e procedente; reconciliar datas e anonimizar dados pessoais.</t>
  </si>
  <si>
    <t xml:space="preserve">AG-CONFL-PI7</t>
  </si>
  <si>
    <t xml:space="preserve">QPE-173; QPE-188; QPE-197; QPE-203</t>
  </si>
  <si>
    <t xml:space="preserve">19.2.4; 20.6; 21.2; 22.2.3</t>
  </si>
  <si>
    <t xml:space="preserve">Denúncias de discriminação/assédio declaradas no Perfil diferem das estatísticas ou do relato de apurações em Conformidade.</t>
  </si>
  <si>
    <t xml:space="preserve">Comparar categorias, corte temporal, registro/triagem e status de investigação sem expor identidades.</t>
  </si>
  <si>
    <t xml:space="preserve">AG-CONFL-PI8</t>
  </si>
  <si>
    <t xml:space="preserve">QPE-174; QPE-189; QPE-197; QPE-203</t>
  </si>
  <si>
    <t xml:space="preserve">19.2.5; 20.7; 21.2; 22.2.3</t>
  </si>
  <si>
    <t xml:space="preserve">Denúncias ambientais declaradas no Perfil divergem dos relatos de apuração e indicadores do canal na Conformidade.</t>
  </si>
  <si>
    <t xml:space="preserve">Comparar classificação do relato, período e caso, respeitando confidencialidade.</t>
  </si>
  <si>
    <t xml:space="preserve">AG-CONFL-PI9</t>
  </si>
  <si>
    <t xml:space="preserve">Não há pergunta específica de Conformidade que permita inferir contradição sobre participação anterior ou prêmio apenas a partir do catálogo fornecido.</t>
  </si>
  <si>
    <t xml:space="preserve">Conferir certificados ou histórico no próprio Perfil; não transformar ausência de pergunta correspondente em conflito.</t>
  </si>
  <si>
    <t xml:space="preserve">AG-CONFL-PI9-1</t>
  </si>
  <si>
    <t xml:space="preserve">AG-CONFL-PI10</t>
  </si>
  <si>
    <t xml:space="preserve">AG-CONFL-PI10-1</t>
  </si>
  <si>
    <t xml:space="preserve">AG-CONFL-PI11</t>
  </si>
  <si>
    <t xml:space="preserve">QPE-001; QPE-002; QPE-180; QPE-191; QPE-197</t>
  </si>
  <si>
    <t xml:space="preserve">1.1; 1.2; 20.1.2; 21.1.2; 21.2</t>
  </si>
  <si>
    <t xml:space="preserve">Processos envolvendo empresa/alta direção informados no Perfil não foram considerados em critérios de seleção ou medidas afirmadas como aplicadas, quando comprovadamente pertinentes.</t>
  </si>
  <si>
    <t xml:space="preserve">Distinguir investigação, PAR e condenação; não inferir culpa; considerar sigilo, datas e escopo exato das perguntas.</t>
  </si>
  <si>
    <t xml:space="preserve">AG-CONFL-PI11-1</t>
  </si>
  <si>
    <t xml:space="preserve">AG-CONFL-PI12</t>
  </si>
  <si>
    <t xml:space="preserve">AG-CONFL-PI12-1</t>
  </si>
  <si>
    <t xml:space="preserve">AG-CONFL-PI13</t>
  </si>
  <si>
    <t xml:space="preserve">Perfil afirma inexistência de remuneração variável na alta direção, mas Conformidade afirma existência de mecanismo variável condicionado a metas de integridade (ou inverso).</t>
  </si>
  <si>
    <t xml:space="preserve">Examinar política e pessoas/cargos abrangidos, período e existência efetiva da remuneração variável.</t>
  </si>
  <si>
    <t xml:space="preserve">AG-CONFL-PI14</t>
  </si>
  <si>
    <t xml:space="preserve">QPE-050; QPE-221</t>
  </si>
  <si>
    <t xml:space="preserve">6.5; 24.3</t>
  </si>
  <si>
    <t xml:space="preserve">Perfil nega possibilidade de impactos ambientais, mas Conformidade afirma riscos ambientais relevantes ou aponta processos de resíduos/efluentes ligados à mesma operação sem explicação.</t>
  </si>
  <si>
    <t xml:space="preserve">Verificar impacto direto/indireto, atividades, licença e período; controles preventivos podem existir mesmo em baixo risco.</t>
  </si>
  <si>
    <t xml:space="preserve">AG-CONFL-PI14-1</t>
  </si>
  <si>
    <t xml:space="preserve">AG-CONFL-PI15</t>
  </si>
  <si>
    <t xml:space="preserve">6.5; 24.1; 24.2</t>
  </si>
  <si>
    <t xml:space="preserve">Perfil declara ausência de risco climático significativo, enquanto Conformidade afirma riscos críticos, contingências ou plano de adaptação para exposição material sem reconciliação.</t>
  </si>
  <si>
    <t xml:space="preserve">Distinguir risco baixo de risco inexistente; confirmar cenário, horizonte, localidade e data-base.</t>
  </si>
  <si>
    <t xml:space="preserve">AG-CONFL-PI15-1</t>
  </si>
  <si>
    <t xml:space="preserve">AG-CONFL-PI16</t>
  </si>
  <si>
    <t xml:space="preserve">QPE-219; QPE-220; QPE-050</t>
  </si>
  <si>
    <t xml:space="preserve">24.1; 24.2; 6.5</t>
  </si>
  <si>
    <t xml:space="preserve">Perfil registra perdas por eventos climáticos, mas Conformidade declara ausência de eventos relevantes ou apresenta plano sem considerar evento já ocorrido.</t>
  </si>
  <si>
    <t xml:space="preserve">Verificar evento, valor, ativo, período e tipo de medida; plano posterior ao evento é compatível com histórico de danos.</t>
  </si>
  <si>
    <t xml:space="preserve">AG-CONFL-PI16-1</t>
  </si>
  <si>
    <t xml:space="preserve">AG-CONFL-PI17</t>
  </si>
  <si>
    <t xml:space="preserve">QPE-220; QPE-223</t>
  </si>
  <si>
    <t xml:space="preserve">24.2; 24.5</t>
  </si>
  <si>
    <t xml:space="preserve">Plano de transição e monitoramento energético declarados no Perfil diferem das iniciativas ambientais ou resultados descritos/divulgados na Conformidade.</t>
  </si>
  <si>
    <t xml:space="preserve">Verificar alcance, indicadores e período; não equiparar transição energética a qualquer iniciativa ambiental.</t>
  </si>
  <si>
    <t xml:space="preserve">AG-CONFL-PI17-1</t>
  </si>
  <si>
    <t xml:space="preserve">AG-CONFL-PI18</t>
  </si>
  <si>
    <t xml:space="preserve">QPE-169; QPE-170; QPE-171; QPE-177; QPE-178</t>
  </si>
  <si>
    <t xml:space="preserve">19.1; 19.2.1; 19.2.2; 19.3; 19.4</t>
  </si>
  <si>
    <t xml:space="preserve">Perfil informa ouvidoria e Conformidade afirma canal de denúncias, mas a documentação revela que o canal indicado não recebe relatos de integridade ou não atende ao público declarado.</t>
  </si>
  <si>
    <t xml:space="preserve">Ouvidoria de consumidor não equivale automaticamente a canal de denúncias; testar finalidade e acesso de cada canal.</t>
  </si>
  <si>
    <t xml:space="preserve">AG-CONFL-PI18-1</t>
  </si>
  <si>
    <t xml:space="preserve">AG-CONFL-PI19</t>
  </si>
  <si>
    <t xml:space="preserve">QPE-171; QPE-203</t>
  </si>
  <si>
    <t xml:space="preserve">19.2.2; 22.2.3</t>
  </si>
  <si>
    <t xml:space="preserve">Perfil registra reclamações de consumidores, mas relatório apresentado como abrangente declara não haver manifestações externas sem delimitar que exclui reclamações de consumo.</t>
  </si>
  <si>
    <t xml:space="preserve">Separar reclamação de consumidor de denúncia de integridade; incompatibilidade apenas quando escopo e período coincidirem.</t>
  </si>
  <si>
    <t xml:space="preserve">AG-CONFL-PI19-1</t>
  </si>
  <si>
    <t xml:space="preserve">AG-CONFL-PI20</t>
  </si>
  <si>
    <t xml:space="preserve">QPE-060; QPE-073; QPE-082</t>
  </si>
  <si>
    <t xml:space="preserve">7.2.9; 9.1.1; 9.2.4</t>
  </si>
  <si>
    <t xml:space="preserve">Perfil afirma norma de diversidade vigente, mas a documentação de Conformidade declara política/código sem cobertura ou inacessível ao público interno, quando afirma abrangência do tema.</t>
  </si>
  <si>
    <t xml:space="preserve">Revisar texto efetivo, divulgação e período; código genérico e norma específica são documentos distintos.</t>
  </si>
  <si>
    <t xml:space="preserve">AG-CONFL-PI20-1</t>
  </si>
  <si>
    <t xml:space="preserve">AG-CONFL-AD1</t>
  </si>
  <si>
    <t xml:space="preserve">Não há pergunta de Conformidade que substitua a verificação específica desta condição cadastral/de admissibilidade; divergência deve ser tratada no próprio Perfil e na fonte oficial.</t>
  </si>
  <si>
    <t xml:space="preserve">Validar certidão, cadastro, decisão/declaração ou resultado oficial conforme a pergunta; não inferir regularidade por resposta de programa de integridade.</t>
  </si>
  <si>
    <t xml:space="preserve">AG-CONFL-AD2</t>
  </si>
  <si>
    <t xml:space="preserve">AG-CONFL-AD3</t>
  </si>
  <si>
    <t xml:space="preserve">AG-CONFL-AD4</t>
  </si>
  <si>
    <t xml:space="preserve">AG-CONFL-AD5</t>
  </si>
  <si>
    <t xml:space="preserve">AG-CONFL-AD6</t>
  </si>
  <si>
    <t xml:space="preserve">AG-CONFL-AD7</t>
  </si>
  <si>
    <t xml:space="preserve">AG-CONFL-AD8</t>
  </si>
  <si>
    <t xml:space="preserve">AG-CONFL-AD9</t>
  </si>
  <si>
    <t xml:space="preserve">AG-CONFL-AD10</t>
  </si>
  <si>
    <t xml:space="preserve">AG-CONFL-AD11</t>
  </si>
  <si>
    <t xml:space="preserve">AG-CONFL-AD12</t>
  </si>
  <si>
    <t xml:space="preserve">AG-CONFL-AD13</t>
  </si>
  <si>
    <t xml:space="preserve">AG-CONFL-AD14</t>
  </si>
  <si>
    <t xml:space="preserve">AG-CONFL-AD15</t>
  </si>
  <si>
    <t xml:space="preserve">QPE-024; QPE-025</t>
  </si>
  <si>
    <t xml:space="preserve">4.1; 4.2.1</t>
  </si>
  <si>
    <t xml:space="preserve">Ato formal da instância de integridade exigido no Perfil não corresponde à estrutura, data de formalização ou atribuições declaradas em Conformidade.</t>
  </si>
  <si>
    <t xml:space="preserve">Comparar ato, titular, atribuições e data de corte específica do Perfil; cuidado com alterações posteriores.</t>
  </si>
  <si>
    <t xml:space="preserve">AG-CONFL-AD16</t>
  </si>
  <si>
    <t xml:space="preserve">QPE-051; QPE-066</t>
  </si>
  <si>
    <t xml:space="preserve">7.1; 7.3</t>
  </si>
  <si>
    <t xml:space="preserve">Perfil anexa publicação em português do Código no site, mas Conformidade declara inexistência/não publicação ou link aponta versão diferente/inacessível.</t>
  </si>
  <si>
    <t xml:space="preserve">Verificar URL, idioma, versão, data e acesso público; a mera existência de PDF interno não prova publicação.</t>
  </si>
  <si>
    <t xml:space="preserve">AG-CONFL-AD17</t>
  </si>
  <si>
    <t xml:space="preserve">QPE-169; QPE-177; QPE-178</t>
  </si>
  <si>
    <t xml:space="preserve">19.1; 19.3; 19.4</t>
  </si>
  <si>
    <t xml:space="preserve">Perfil informa link público em português para denúncias, mas Conformidade declara canal inexistente, inoperante ou inacessível (ou vice-versa).</t>
  </si>
  <si>
    <t xml:space="preserve">Abrir endereço em sessão sem autenticação e registrar data do teste; indisponibilidade temporária exige rechecagem.</t>
  </si>
  <si>
    <t xml:space="preserve">AG-CONFL-AD18</t>
  </si>
  <si>
    <t xml:space="preserve">QPE-037; QPE-041; QPE-042; QPE-047</t>
  </si>
  <si>
    <t xml:space="preserve">6.1; 6.2; 6.3.1; 6.3.6</t>
  </si>
  <si>
    <t xml:space="preserve">Análise de riscos anexada no Perfil não corresponde à análise, conteúdo ou período informados como execução em Conformidade.</t>
  </si>
  <si>
    <t xml:space="preserve">Confrontar data, versão, escopo de integridade, aprovação e janela da pergunta de Perfil; análise posterior não substitui período exigido.</t>
  </si>
  <si>
    <t xml:space="preserve">AG-CONFL-AD19</t>
  </si>
  <si>
    <t xml:space="preserve">QPE-198; QPE-201; QPE-202; QPE-203; QPE-204; QPE-205</t>
  </si>
  <si>
    <t xml:space="preserve">22.1.1; 22.2.1; 22.2.2; 22.2.3; 22.2.4; 22.2.5</t>
  </si>
  <si>
    <t xml:space="preserve">Indicadores anexados no Perfil não correspondem às metas, séries, relatórios ou rotinas de monitoramento afirmados na Conformidade.</t>
  </si>
  <si>
    <t xml:space="preserve">Conciliar métricas, fórmulas de contagem, janela temporal, área responsável e rastreabilidade; não exigir indicador não aplicável.</t>
  </si>
  <si>
    <t xml:space="preserve">Regras de conflito por família (42)</t>
  </si>
  <si>
    <t xml:space="preserve">Fonte: portal (DB.RC).</t>
  </si>
  <si>
    <t xml:space="preserve">Vínculo</t>
  </si>
  <si>
    <t xml:space="preserve">Incompatibilidade</t>
  </si>
  <si>
    <t xml:space="preserve">Teste cruzado</t>
  </si>
  <si>
    <t xml:space="preserve">Condição de alerta</t>
  </si>
  <si>
    <t xml:space="preserve">Exceções</t>
  </si>
  <si>
    <t xml:space="preserve">RC-01</t>
  </si>
  <si>
    <t xml:space="preserve">matriz</t>
  </si>
  <si>
    <t xml:space="preserve">DB1; DB3; DB3.1; DB5</t>
  </si>
  <si>
    <t xml:space="preserve">AG-CONFL-DB1; AG-CONFL-DB3; AG-CONFL-DB3-1; AG-CONFL-DB5</t>
  </si>
  <si>
    <t xml:space="preserve">RC-02</t>
  </si>
  <si>
    <t xml:space="preserve">QPE-041; QPE-207</t>
  </si>
  <si>
    <t xml:space="preserve">EA1; EA2; EA3</t>
  </si>
  <si>
    <t xml:space="preserve">AG-CONFL-EA1; AG-CONFL-EA2; AG-CONFL-EA3</t>
  </si>
  <si>
    <t xml:space="preserve">RC-03</t>
  </si>
  <si>
    <t xml:space="preserve">EA4; EA7; EA9</t>
  </si>
  <si>
    <t xml:space="preserve">AG-CONFL-EA4; AG-CONFL-EA7; AG-CONFL-EA9</t>
  </si>
  <si>
    <t xml:space="preserve">RC-04</t>
  </si>
  <si>
    <t xml:space="preserve">EA5; EA6</t>
  </si>
  <si>
    <t xml:space="preserve">AG-CONFL-EA5; AG-CONFL-EA6</t>
  </si>
  <si>
    <t xml:space="preserve">RC-05</t>
  </si>
  <si>
    <t xml:space="preserve">EA8; EA10; EA10.1; EA10.2; IP1; IP1.1; IP2; IP3</t>
  </si>
  <si>
    <t xml:space="preserve">AG-CONFL-EA8; AG-CONFL-EA10; AG-CONFL-EA10-1; AG-CONFL-EA10-2; AG-CONFL-IP1; AG-CONFL-IP1-1; AG-CONFL-IP2; AG-CONFL-IP3</t>
  </si>
  <si>
    <t xml:space="preserve">RC-06</t>
  </si>
  <si>
    <t xml:space="preserve">EA11; EA12; EA12.1; EA12.2; EA12.3</t>
  </si>
  <si>
    <t xml:space="preserve">AG-CONFL-EA11; AG-CONFL-EA12; AG-CONFL-EA12-1; AG-CONFL-EA12-2; AG-CONFL-EA12-3</t>
  </si>
  <si>
    <t xml:space="preserve">RC-07</t>
  </si>
  <si>
    <t xml:space="preserve">RC-08</t>
  </si>
  <si>
    <t xml:space="preserve">EA14; EA14.1</t>
  </si>
  <si>
    <t xml:space="preserve">AG-CONFL-EA14; AG-CONFL-EA14-1</t>
  </si>
  <si>
    <t xml:space="preserve">RC-09</t>
  </si>
  <si>
    <t xml:space="preserve">EA15; EA15.1</t>
  </si>
  <si>
    <t xml:space="preserve">AG-CONFL-EA15; AG-CONFL-EA15-1</t>
  </si>
  <si>
    <t xml:space="preserve">RC-10</t>
  </si>
  <si>
    <t xml:space="preserve">EA16; EA17; EA18; EA19</t>
  </si>
  <si>
    <t xml:space="preserve">AG-CONFL-EA16; AG-CONFL-EA17; AG-CONFL-EA18; AG-CONFL-EA19</t>
  </si>
  <si>
    <t xml:space="preserve">RC-11</t>
  </si>
  <si>
    <t xml:space="preserve">RC-12</t>
  </si>
  <si>
    <t xml:space="preserve">RC-13</t>
  </si>
  <si>
    <t xml:space="preserve">IP5; IP6</t>
  </si>
  <si>
    <t xml:space="preserve">AG-CONFL-IP5; AG-CONFL-IP6</t>
  </si>
  <si>
    <t xml:space="preserve">RC-14</t>
  </si>
  <si>
    <t xml:space="preserve">IP7; IP7.1</t>
  </si>
  <si>
    <t xml:space="preserve">AG-CONFL-IP7; AG-CONFL-IP7-1</t>
  </si>
  <si>
    <t xml:space="preserve">RC-15</t>
  </si>
  <si>
    <t xml:space="preserve">IP8; IP8.1</t>
  </si>
  <si>
    <t xml:space="preserve">AG-CONFL-IP8; AG-CONFL-IP8-1</t>
  </si>
  <si>
    <t xml:space="preserve">RC-16</t>
  </si>
  <si>
    <t xml:space="preserve">IP9; IP9.1</t>
  </si>
  <si>
    <t xml:space="preserve">AG-CONFL-IP9; AG-CONFL-IP9-1</t>
  </si>
  <si>
    <t xml:space="preserve">RC-17</t>
  </si>
  <si>
    <t xml:space="preserve">IP10; IP10.1</t>
  </si>
  <si>
    <t xml:space="preserve">AG-CONFL-IP10; AG-CONFL-IP10-1</t>
  </si>
  <si>
    <t xml:space="preserve">RC-18</t>
  </si>
  <si>
    <t xml:space="preserve">DP1; DP1.1; DP1.2</t>
  </si>
  <si>
    <t xml:space="preserve">AG-CONFL-DP1; AG-CONFL-DP1-1; AG-CONFL-DP1-2</t>
  </si>
  <si>
    <t xml:space="preserve">RC-19</t>
  </si>
  <si>
    <t xml:space="preserve">DP2; DP2.1</t>
  </si>
  <si>
    <t xml:space="preserve">AG-CONFL-DP2; AG-CONFL-DP2-1</t>
  </si>
  <si>
    <t xml:space="preserve">RC-20</t>
  </si>
  <si>
    <t xml:space="preserve">RC-21</t>
  </si>
  <si>
    <t xml:space="preserve">PI2; PI3; PI4</t>
  </si>
  <si>
    <t xml:space="preserve">AG-CONFL-PI2; AG-CONFL-PI3; AG-CONFL-PI4</t>
  </si>
  <si>
    <t xml:space="preserve">RC-22</t>
  </si>
  <si>
    <t xml:space="preserve">RC-23</t>
  </si>
  <si>
    <t xml:space="preserve">RC-24</t>
  </si>
  <si>
    <t xml:space="preserve">RC-25</t>
  </si>
  <si>
    <t xml:space="preserve">RC-26</t>
  </si>
  <si>
    <t xml:space="preserve">PI11; PI11.1; PI12; PI12.1</t>
  </si>
  <si>
    <t xml:space="preserve">AG-CONFL-PI11; AG-CONFL-PI11-1; AG-CONFL-PI12; AG-CONFL-PI12-1</t>
  </si>
  <si>
    <t xml:space="preserve">RC-27</t>
  </si>
  <si>
    <t xml:space="preserve">RC-28</t>
  </si>
  <si>
    <t xml:space="preserve">PI14; PI14.1</t>
  </si>
  <si>
    <t xml:space="preserve">AG-CONFL-PI14; AG-CONFL-PI14-1</t>
  </si>
  <si>
    <t xml:space="preserve">RC-29</t>
  </si>
  <si>
    <t xml:space="preserve">PI15; PI15.1; PI16; PI16.1</t>
  </si>
  <si>
    <t xml:space="preserve">AG-CONFL-PI15; AG-CONFL-PI15-1; AG-CONFL-PI16; AG-CONFL-PI16-1</t>
  </si>
  <si>
    <t xml:space="preserve">RC-30</t>
  </si>
  <si>
    <t xml:space="preserve">PI17; PI17.1</t>
  </si>
  <si>
    <t xml:space="preserve">AG-CONFL-PI17; AG-CONFL-PI17-1</t>
  </si>
  <si>
    <t xml:space="preserve">RC-31</t>
  </si>
  <si>
    <t xml:space="preserve">PI18; PI18.1</t>
  </si>
  <si>
    <t xml:space="preserve">AG-CONFL-PI18; AG-CONFL-PI18-1</t>
  </si>
  <si>
    <t xml:space="preserve">RC-32</t>
  </si>
  <si>
    <t xml:space="preserve">PI19; PI19.1</t>
  </si>
  <si>
    <t xml:space="preserve">AG-CONFL-PI19; AG-CONFL-PI19-1</t>
  </si>
  <si>
    <t xml:space="preserve">RC-33</t>
  </si>
  <si>
    <t xml:space="preserve">PI20; PI20.1</t>
  </si>
  <si>
    <t xml:space="preserve">AG-CONFL-PI20; AG-CONFL-PI20-1</t>
  </si>
  <si>
    <t xml:space="preserve">RC-34</t>
  </si>
  <si>
    <t xml:space="preserve">RC-35</t>
  </si>
  <si>
    <t xml:space="preserve">RC-36</t>
  </si>
  <si>
    <t xml:space="preserve">RC-37</t>
  </si>
  <si>
    <t xml:space="preserve">RC-38</t>
  </si>
  <si>
    <t xml:space="preserve">RN-01</t>
  </si>
  <si>
    <t xml:space="preserve">numérica</t>
  </si>
  <si>
    <t xml:space="preserve">QPE-026; QPE-027; QPE-028</t>
  </si>
  <si>
    <t xml:space="preserve">Perfil informa zero colaboradores dedicados exclusivamente à integridade, mas a Conformidade afirma dedicação exclusiva ou equipe específica.</t>
  </si>
  <si>
    <t xml:space="preserve">PI3 = 0 × 4.2.2 / 4.2.3 / 4.2.4 = Sim</t>
  </si>
  <si>
    <t xml:space="preserve">RN-02</t>
  </si>
  <si>
    <t xml:space="preserve">INTERNO</t>
  </si>
  <si>
    <t xml:space="preserve">A soma das categorias (gerenciais, administrativas e operacionais) supera o total de colaboradores.</t>
  </si>
  <si>
    <t xml:space="preserve">EA17 + EA18 + EA19 ≤ EA16</t>
  </si>
  <si>
    <t xml:space="preserve">RN-03</t>
  </si>
  <si>
    <t xml:space="preserve">data</t>
  </si>
  <si>
    <t xml:space="preserve">PI1; AD15</t>
  </si>
  <si>
    <t xml:space="preserve">Ano de formalização do programa posterior ao prazo do ato formal exigido na admissibilidade (30/04/2024).</t>
  </si>
  <si>
    <t xml:space="preserve">PI1 ≥ 2025 torna AD15 impossível; documento de AD15 datado após 30/04/2024</t>
  </si>
  <si>
    <t xml:space="preserve">RN-04</t>
  </si>
  <si>
    <t xml:space="preserve">Perfil declara não ter contratos com a Administração (IP5), mas informa faturamento vindo de contratos públicos (IP6).</t>
  </si>
  <si>
    <t xml:space="preserve">IP5 negativo × IP6 diferente de 0%</t>
  </si>
  <si>
    <t xml:space="preserve">Regras de dependência entre perguntas (23)</t>
  </si>
  <si>
    <t xml:space="preserve">Fonte: portal (DB.DEP). Se a pergunta-pai é "Não", as dependentes não podem ser "Sim".</t>
  </si>
  <si>
    <t xml:space="preserve">Perguntas-pai</t>
  </si>
  <si>
    <t xml:space="preserve">Nº pai</t>
  </si>
  <si>
    <t xml:space="preserve">Modo</t>
  </si>
  <si>
    <t xml:space="preserve">Perguntas dependentes</t>
  </si>
  <si>
    <t xml:space="preserve">Nº dependentes</t>
  </si>
  <si>
    <t xml:space="preserve">Regra</t>
  </si>
  <si>
    <t xml:space="preserve">DEP-1.1</t>
  </si>
  <si>
    <t xml:space="preserve">all</t>
  </si>
  <si>
    <t xml:space="preserve">Se 1.1 = Não, as perguntas dependentes não podem ser “Sim”</t>
  </si>
  <si>
    <t xml:space="preserve">DEP-2.2</t>
  </si>
  <si>
    <t xml:space="preserve">Se 2.2 = Não, as perguntas dependentes não podem ser “Sim”</t>
  </si>
  <si>
    <t xml:space="preserve">DEP-2.4</t>
  </si>
  <si>
    <t xml:space="preserve">QPE-009; QPE-010; QPE-011; QPE-012</t>
  </si>
  <si>
    <t xml:space="preserve">2.4.1; 2.4.2; 2.4.3; 2.4.4</t>
  </si>
  <si>
    <t xml:space="preserve">Se 2.4 = Não, as perguntas dependentes não podem ser “Sim”</t>
  </si>
  <si>
    <t xml:space="preserve">DEP-3.1</t>
  </si>
  <si>
    <t xml:space="preserve">QPE-015; QPE-016; QPE-017; QPE-018; QPE-019; QPE-020; QPE-021</t>
  </si>
  <si>
    <t xml:space="preserve">3.2.1; 3.2.2; 3.2.3; 3.2.4; 3.2.5; 3.2.6; 3.2.7</t>
  </si>
  <si>
    <t xml:space="preserve">Se 3.1 = Não, as perguntas dependentes não podem ser “Sim”</t>
  </si>
  <si>
    <t xml:space="preserve">DEP-3.3</t>
  </si>
  <si>
    <t xml:space="preserve">Se 3.3 = Não, as perguntas dependentes não podem ser “Sim”</t>
  </si>
  <si>
    <t xml:space="preserve">DEP-4.1</t>
  </si>
  <si>
    <t xml:space="preserve">QPE-025; QPE-026; QPE-027; QPE-028; QPE-029; QPE-030; QPE-031; QPE-032; QPE-033; QPE-035; QPE-036</t>
  </si>
  <si>
    <t xml:space="preserve">4.2.1; 4.2.2; 4.2.3; 4.2.4; 4.2.5; 4.2.6; 4.2.7; 4.2.8; 5.1; 5.2; 5.3</t>
  </si>
  <si>
    <t xml:space="preserve">Se 4.1 = Não, as perguntas dependentes não podem ser “Sim”</t>
  </si>
  <si>
    <t xml:space="preserve">DEP-5.1</t>
  </si>
  <si>
    <t xml:space="preserve">Se 5.1 = Não, as perguntas dependentes não podem ser “Sim”</t>
  </si>
  <si>
    <t xml:space="preserve">DEP-6.1</t>
  </si>
  <si>
    <t xml:space="preserve">QPE-038; QPE-039; QPE-040</t>
  </si>
  <si>
    <t xml:space="preserve">6.1.1; 6.1.2; 6.1.3</t>
  </si>
  <si>
    <t xml:space="preserve">Se 6.1 = Não, as perguntas dependentes não podem ser “Sim”</t>
  </si>
  <si>
    <t xml:space="preserve">DEP-6.2</t>
  </si>
  <si>
    <t xml:space="preserve">QPE-042; QPE-043; QPE-044; QPE-045; QPE-046; QPE-047; QPE-048</t>
  </si>
  <si>
    <t xml:space="preserve">6.3.1; 6.3.2; 6.3.3; 6.3.4; 6.3.5; 6.3.6; 6.3.7</t>
  </si>
  <si>
    <t xml:space="preserve">Se 6.2 = Não, as perguntas dependentes não podem ser “Sim”</t>
  </si>
  <si>
    <t xml:space="preserve">DEP-7.1</t>
  </si>
  <si>
    <t xml:space="preserve">QPE-052; QPE-053; QPE-054; QPE-055; QPE-056; QPE-057; QPE-058; QPE-059; QPE-060; QPE-061; QPE-062; QPE-063; QPE-064; QPE-065; QPE-066; QPE-224</t>
  </si>
  <si>
    <t xml:space="preserve">7.2.1; 7.2.2; 7.2.3; 7.2.4; 7.2.5; 7.2.6; 7.2.7; 7.2.8; 7.2.9; 7.2.10; 7.2.11; 7.2.12; 7.2.13; 7.2.14; 7.3; 7.4</t>
  </si>
  <si>
    <t xml:space="preserve">Se 7.1 = Não, as perguntas dependentes não podem ser “Sim”</t>
  </si>
  <si>
    <t xml:space="preserve">DEP-8.1</t>
  </si>
  <si>
    <t xml:space="preserve">QPE-068; QPE-069; QPE-070; QPE-071; QPE-072</t>
  </si>
  <si>
    <t xml:space="preserve">8.2.1; 8.2.2; 8.2.3; 8.3; 8.4</t>
  </si>
  <si>
    <t xml:space="preserve">Se 8.1 = Não, as perguntas dependentes não podem ser “Sim”</t>
  </si>
  <si>
    <t xml:space="preserve">DEP-9.1.x</t>
  </si>
  <si>
    <t xml:space="preserve">QPE-073; QPE-074; QPE-075; QPE-076; QPE-077; QPE-078</t>
  </si>
  <si>
    <t xml:space="preserve">9.1.1; 9.1.2; 9.1.3; 9.1.4; 9.1.5; 9.1.6</t>
  </si>
  <si>
    <t xml:space="preserve">any</t>
  </si>
  <si>
    <t xml:space="preserve">QPE-079; QPE-080; QPE-081; QPE-082; QPE-083</t>
  </si>
  <si>
    <t xml:space="preserve">9.2.1; 9.2.2; 9.2.3; 9.2.4; 9.3</t>
  </si>
  <si>
    <t xml:space="preserve">Se todas as perguntas 9.1.x forem “Não”, as dependentes não podem ser “Sim”</t>
  </si>
  <si>
    <t xml:space="preserve">DEP-10.1.x</t>
  </si>
  <si>
    <t xml:space="preserve">QPE-085; QPE-086; QPE-087</t>
  </si>
  <si>
    <t xml:space="preserve">10.1.1; 10.1.2; 10.1.3</t>
  </si>
  <si>
    <t xml:space="preserve">QPE-088; QPE-089; QPE-090; QPE-091; QPE-092; QPE-093; QPE-094; QPE-095; QPE-096; QPE-097; QPE-098; QPE-099</t>
  </si>
  <si>
    <t xml:space="preserve">10.2.1; 10.2.2; 10.2.3; 10.2.4; 10.2.5; 10.3.1; 10.3.2; 10.3.3; 10.3.4; 10.3.5; 10.3.6; 10.4</t>
  </si>
  <si>
    <t xml:space="preserve">Se todas as perguntas 10.1.x forem “Não”, as dependentes não podem ser “Sim”</t>
  </si>
  <si>
    <t xml:space="preserve">DEP-11.1.x</t>
  </si>
  <si>
    <t xml:space="preserve">QPE-100; QPE-101; QPE-102; QPE-103; QPE-104; QPE-105</t>
  </si>
  <si>
    <t xml:space="preserve">11.1.1; 11.1.2; 11.1.3; 11.1.4; 11.1.5; 11.1.6</t>
  </si>
  <si>
    <t xml:space="preserve">Se todas as perguntas 11.1.x forem “Não”, as dependentes não podem ser “Sim”</t>
  </si>
  <si>
    <t xml:space="preserve">DEP-11.3.x</t>
  </si>
  <si>
    <t xml:space="preserve">QPE-107; QPE-108; QPE-109; QPE-110; QPE-111; QPE-112</t>
  </si>
  <si>
    <t xml:space="preserve">11.3.1; 11.3.2; 11.3.3; 11.3.4; 11.3.5; 11.3.6</t>
  </si>
  <si>
    <t xml:space="preserve">QPE-113; QPE-114; QPE-115; QPE-116</t>
  </si>
  <si>
    <t xml:space="preserve">11.4.1; 11.4.2; 11.4.3; 11.4.4</t>
  </si>
  <si>
    <t xml:space="preserve">Se todas as perguntas 11.3.x forem “Não”, as dependentes não podem ser “Sim”</t>
  </si>
  <si>
    <t xml:space="preserve">DEP-12.1.x</t>
  </si>
  <si>
    <t xml:space="preserve">QPE-118; QPE-119; QPE-120</t>
  </si>
  <si>
    <t xml:space="preserve">12.1.1; 12.1.2; 12.1.3</t>
  </si>
  <si>
    <t xml:space="preserve">Se todas as perguntas 12.1.x forem “Não”, as dependentes não podem ser “Sim”</t>
  </si>
  <si>
    <t xml:space="preserve">QPE-107; QPE-108; QPE-109; QPE-110; QPE-111; QPE-112; QPE-122; QPE-123; QPE-124; QPE-125; QPE-126; QPE-127; QPE-128</t>
  </si>
  <si>
    <t xml:space="preserve">11.3.1; 11.3.2; 11.3.3; 11.3.4; 11.3.5; 11.3.6; 12.3.1; 12.3.2; 12.3.3; 12.3.4; 12.3.5; 12.3.6; 12.3.7</t>
  </si>
  <si>
    <t xml:space="preserve">DEP-15.1</t>
  </si>
  <si>
    <t xml:space="preserve">QPE-138; QPE-139; QPE-140; QPE-141; QPE-142</t>
  </si>
  <si>
    <t xml:space="preserve">15.2; 15.3; 15.4; 15.5; 15.6</t>
  </si>
  <si>
    <t xml:space="preserve">Se 15.1 = Não, as perguntas dependentes não podem ser “Sim”</t>
  </si>
  <si>
    <t xml:space="preserve">DEP-16.1.x</t>
  </si>
  <si>
    <t xml:space="preserve">QPE-143; QPE-144; QPE-145; QPE-146; QPE-147; QPE-148; QPE-149; QPE-150; QPE-151; QPE-152; QPE-153; QPE-154</t>
  </si>
  <si>
    <t xml:space="preserve">16.1.1; 16.1.2; 16.1.3; 16.1.4; 16.1.5; 16.1.6; 16.1.7; 16.1.8; 16.1.9; 16.1.10; 16.1.11; 16.1.12</t>
  </si>
  <si>
    <t xml:space="preserve">QPE-155; QPE-156; QPE-157; QPE-158; QPE-159</t>
  </si>
  <si>
    <t xml:space="preserve">16.2; 16.3; 16.4; 16.5; 16.6</t>
  </si>
  <si>
    <t xml:space="preserve">Se todas as perguntas 16.1.x forem “Não”, as dependentes não podem ser “Sim”</t>
  </si>
  <si>
    <t xml:space="preserve">DEP-17.2</t>
  </si>
  <si>
    <t xml:space="preserve">QPE-162; QPE-163</t>
  </si>
  <si>
    <t xml:space="preserve">17.2.1; 17.2.2</t>
  </si>
  <si>
    <t xml:space="preserve">Se 17.2 = Não, as perguntas dependentes não podem ser “Sim”</t>
  </si>
  <si>
    <t xml:space="preserve">DEP-19.1</t>
  </si>
  <si>
    <t xml:space="preserve">QPE-170; QPE-171; QPE-172; QPE-173; QPE-174; QPE-175; QPE-176; QPE-177; QPE-178</t>
  </si>
  <si>
    <t xml:space="preserve">19.2.1; 19.2.2; 19.2.3; 19.2.4; 19.2.5; 19.2.6; 19.2.7; 19.3; 19.4</t>
  </si>
  <si>
    <t xml:space="preserve">Se 19.1 = Não, as perguntas dependentes não podem ser “Sim”</t>
  </si>
  <si>
    <t xml:space="preserve">DEP-21.1.x</t>
  </si>
  <si>
    <t xml:space="preserve">QPE-190; QPE-191; QPE-192; QPE-193; QPE-194; QPE-195; QPE-196</t>
  </si>
  <si>
    <t xml:space="preserve">21.1.1; 21.1.2; 21.1.3; 21.1.4; 21.1.5; 21.1.6; 21.1.7</t>
  </si>
  <si>
    <t xml:space="preserve">Se todas as perguntas 21.1.x forem “Não”, as dependentes não podem ser “Sim”</t>
  </si>
  <si>
    <t xml:space="preserve">DEP-22.2.x</t>
  </si>
  <si>
    <t xml:space="preserve">QPE-201; QPE-202; QPE-203; QPE-204; QPE-205</t>
  </si>
  <si>
    <t xml:space="preserve">22.2.1; 22.2.2; 22.2.3; 22.2.4; 22.2.5</t>
  </si>
  <si>
    <t xml:space="preserve">Se todas as perguntas 22.2.x forem “Não”, as dependentes não podem ser “Sim”</t>
  </si>
  <si>
    <t xml:space="preserve">Parâmetros do simulador e do PMO</t>
  </si>
  <si>
    <t xml:space="preserve">Células azuis em fundo amarelo são premissas editáveis. Todas as abas de simulação e PMO leem daqui.</t>
  </si>
  <si>
    <t xml:space="preserve">Parâmetro</t>
  </si>
  <si>
    <t xml:space="preserve">Valor</t>
  </si>
  <si>
    <t xml:space="preserve">Observação</t>
  </si>
  <si>
    <t xml:space="preserve">Meta de pontuação Pró-Ética (pontos)</t>
  </si>
  <si>
    <t xml:space="preserve">Mínimo do selo; 80 = folga (conforme simulador do portal)</t>
  </si>
  <si>
    <t xml:space="preserve">Mínimo por área (fração do teto)</t>
  </si>
  <si>
    <t xml:space="preserve">Regra do portal: 45% do teto em cada uma das 10 áreas</t>
  </si>
  <si>
    <t xml:space="preserve">Limiar do nível Crítico (score P×I ≥)</t>
  </si>
  <si>
    <t xml:space="preserve">Escala do portal: Crítico ≥20, Alto ≥10, Moderado ≥5</t>
  </si>
  <si>
    <t xml:space="preserve">Limiar do nível Alto (score ≥)</t>
  </si>
  <si>
    <t xml:space="preserve">Limiar do nível Moderado (score ≥)</t>
  </si>
  <si>
    <t xml:space="preserve">Apetite de risco: score máximo aceito</t>
  </si>
  <si>
    <t xml:space="preserve">PREMISSA a validar pelo Comitê de Sócios (no portal o apetite não vem preenchido)</t>
  </si>
  <si>
    <t xml:space="preserve">Capacidade da equipe (dias-pessoa por mês)</t>
  </si>
  <si>
    <t xml:space="preserve">Padrão do PMO do portal</t>
  </si>
  <si>
    <t xml:space="preserve">Data de início do PMO</t>
  </si>
  <si>
    <t xml:space="preserve">PREMISSA: segunda-feira seguinte à geração desta planilha</t>
  </si>
  <si>
    <t xml:space="preserve">Custo por dia-pessoa (R$) — opcional</t>
  </si>
  <si>
    <t xml:space="preserve">Deixe em branco se não quiser estimar custo</t>
  </si>
  <si>
    <t xml:space="preserve">Redução máxima de P quando todas as ações do risco estão concluídas</t>
  </si>
  <si>
    <t xml:space="preserve">PREMISSA do simulador desta planilha (pontos na escala 1–5)</t>
  </si>
  <si>
    <t xml:space="preserve">Redução máxima de I quando todas as ações do risco estão concluídas</t>
  </si>
  <si>
    <t xml:space="preserve">PREMISSA do simulador desta planilha</t>
  </si>
  <si>
    <t xml:space="preserve">Esforço-base por tipo de ação (dias-pessoa) = base + por pergunta aberta × nº de perguntas</t>
  </si>
  <si>
    <t xml:space="preserve">Base</t>
  </si>
  <si>
    <t xml:space="preserve">Por pergunta</t>
  </si>
  <si>
    <t xml:space="preserve">Significado</t>
  </si>
  <si>
    <t xml:space="preserve">D</t>
  </si>
  <si>
    <t xml:space="preserve">Desenho e aprovação</t>
  </si>
  <si>
    <t xml:space="preserve">Execução e evidência</t>
  </si>
  <si>
    <t xml:space="preserve">P</t>
  </si>
  <si>
    <t xml:space="preserve">Publicação e transparência</t>
  </si>
  <si>
    <t xml:space="preserve">Norma ISO (opcional)</t>
  </si>
  <si>
    <t xml:space="preserve">Fonte: constantes EFP/CGU_AREAS/limiares do portal HTML (Simples_GRC_Jornada_de_Integridade_Vitrine_v2_Simulador_PMO.html).</t>
  </si>
  <si>
    <t xml:space="preserve">Matriz de risco do portal (17 riscos: 10 CGU + 7 ISO) — probabilidade × impacto</t>
  </si>
  <si>
    <t xml:space="preserve">Fonte: portal HTML (sgv-risk-data). Score e nível são fórmulas; P e I (azul) são editáveis e alimentam os simuladores.</t>
  </si>
  <si>
    <t xml:space="preserve">Eixo</t>
  </si>
  <si>
    <t xml:space="preserve">Área / cláusula</t>
  </si>
  <si>
    <t xml:space="preserve">Evento de risco</t>
  </si>
  <si>
    <t xml:space="preserve">Categoria</t>
  </si>
  <si>
    <t xml:space="preserve">Causa</t>
  </si>
  <si>
    <t xml:space="preserve">Prob. (1–5)</t>
  </si>
  <si>
    <t xml:space="preserve">Impacto (1–5)</t>
  </si>
  <si>
    <t xml:space="preserve">Score P×I</t>
  </si>
  <si>
    <t xml:space="preserve">Nível</t>
  </si>
  <si>
    <t xml:space="preserve">Consequência</t>
  </si>
  <si>
    <t xml:space="preserve">Controle</t>
  </si>
  <si>
    <t xml:space="preserve">Frequência de revisão</t>
  </si>
  <si>
    <t xml:space="preserve">Alerta</t>
  </si>
  <si>
    <t xml:space="preserve">Ação recomendada</t>
  </si>
  <si>
    <t xml:space="preserve">Responsável</t>
  </si>
  <si>
    <t xml:space="preserve">Prazo</t>
  </si>
  <si>
    <t xml:space="preserve">Status</t>
  </si>
  <si>
    <t xml:space="preserve">Meta P</t>
  </si>
  <si>
    <t xml:space="preserve">Meta I</t>
  </si>
  <si>
    <t xml:space="preserve">RM-01</t>
  </si>
  <si>
    <t xml:space="preserve">CGU · Perguntas</t>
  </si>
  <si>
    <t xml:space="preserve">Alta direção não supervisiona de fato o programa de integridade</t>
  </si>
  <si>
    <t xml:space="preserve">Governança/Estratégico</t>
  </si>
  <si>
    <t xml:space="preserve">Ausência de relatórios periódicos, atas ou evidência formal de supervisão pela alta administração</t>
  </si>
  <si>
    <t xml:space="preserve">Programa de integridade descaracterizado como 'letra morta'; reprovação em auditoria CGU/Pró-Ética e nulidade do efeito atenuante da Lei 12.846/2013</t>
  </si>
  <si>
    <t xml:space="preserve">Calendário fixo de reuniões de supervisão + checklist de evidências por ciclo</t>
  </si>
  <si>
    <t xml:space="preserve">Atas de reunião, relatórios de acompanhamento, e-mails e apresentações à alta direção, registros de frequência</t>
  </si>
  <si>
    <t xml:space="preserve">Trimestral</t>
  </si>
  <si>
    <t xml:space="preserve">Nenhuma evidência de supervisão registrada no ciclo corrente</t>
  </si>
  <si>
    <t xml:space="preserve">Instituir rito formal de supervisão e retroagir evidência do período faltante quando possível</t>
  </si>
  <si>
    <t xml:space="preserve">Alta Direção / Compliance Officer</t>
  </si>
  <si>
    <t xml:space="preserve">Antes do próximo ciclo de autoavaliação/SAMPI</t>
  </si>
  <si>
    <t xml:space="preserve">Ativo</t>
  </si>
  <si>
    <t xml:space="preserve">Falha estrutural recorrente em empresas em estágio inicial de maturidade</t>
  </si>
  <si>
    <t xml:space="preserve">É a medida mínima ITP-001; sua ausência compromete a credibilidade de todo o programa</t>
  </si>
  <si>
    <t xml:space="preserve">Nível simulado a partir do próprio diagnóstico Simples GRC; não substitui avaliação formal de riscos da empresa.</t>
  </si>
  <si>
    <t xml:space="preserve">RM-02</t>
  </si>
  <si>
    <t xml:space="preserve">Instância de integridade sem independência, orçamento ou autoridade suficiente</t>
  </si>
  <si>
    <t xml:space="preserve">Governança/Operacional</t>
  </si>
  <si>
    <t xml:space="preserve">Função acumulada com áreas de conflito (jurídico/RH sem segregação), sem reporte direto a órgão de governança</t>
  </si>
  <si>
    <t xml:space="preserve">Programa sem capacidade de agir contra a própria administração; glosa de pontuação Pró-Ética no critério de estrutura</t>
  </si>
  <si>
    <t xml:space="preserve">Estatuto/regimento da função de integridade com linha de reporte a Conselho/Diretoria</t>
  </si>
  <si>
    <t xml:space="preserve">Ato de nomeação, regimento interno, organograma, evidência de reporte a órgão superior</t>
  </si>
  <si>
    <t xml:space="preserve">Anual (revisão) / imediato em mudança societária</t>
  </si>
  <si>
    <t xml:space="preserve">Mudança de responsável sem atualização do ato de nomeação</t>
  </si>
  <si>
    <t xml:space="preserve">Formalizar independência e linha de reporte; dotar orçamento mínimo</t>
  </si>
  <si>
    <t xml:space="preserve">Diretoria / Conselho</t>
  </si>
  <si>
    <t xml:space="preserve">Na constituição ou alteração da instância</t>
  </si>
  <si>
    <t xml:space="preserve">Estrutura recente ou sem revisão formal aumenta a chance de lacuna</t>
  </si>
  <si>
    <t xml:space="preserve">Item avaliado tanto no Pacto Brasil quanto no Pró-Ética como estrutural</t>
  </si>
  <si>
    <t xml:space="preserve">RM-03</t>
  </si>
  <si>
    <t xml:space="preserve">Ausência ou desatualização da matriz de riscos de integridade</t>
  </si>
  <si>
    <t xml:space="preserve">Compliance/Operacional</t>
  </si>
  <si>
    <t xml:space="preserve">Mapeamento de riscos não realizado, desatualizado ou sem relação com atividades e terceiros reais da empresa</t>
  </si>
  <si>
    <t xml:space="preserve">Programa 'genérico', sem aderência ao perfil de risco real; controles mal direcionados</t>
  </si>
  <si>
    <t xml:space="preserve">Revisão periódica da matriz de riscos com gatilho por evento relevante (nova área, M&amp;A, sanção)</t>
  </si>
  <si>
    <t xml:space="preserve">Matriz de riscos versionada, memória de metodologia, atas de revisão</t>
  </si>
  <si>
    <t xml:space="preserve">Anual e por evento relevante</t>
  </si>
  <si>
    <t xml:space="preserve">Matriz sem revisão há mais de 12 meses</t>
  </si>
  <si>
    <t xml:space="preserve">Reavaliar riscos e republicar matriz com plano de ação associado</t>
  </si>
  <si>
    <t xml:space="preserve">Compliance / Gestão de Riscos</t>
  </si>
  <si>
    <t xml:space="preserve">Ciclo anual de revisão</t>
  </si>
  <si>
    <t xml:space="preserve">Empresas frequentemente tratam a matriz como exercício pontual e não vivo</t>
  </si>
  <si>
    <t xml:space="preserve">Base de todo o direcionamento de controles subsequentes</t>
  </si>
  <si>
    <t xml:space="preserve">RM-04</t>
  </si>
  <si>
    <t xml:space="preserve">Código de ética e políticas desatualizados, genéricos ou não difundidos</t>
  </si>
  <si>
    <t xml:space="preserve">Compliance/Reputacional</t>
  </si>
  <si>
    <t xml:space="preserve">Políticas copiadas de modelo padrão, sem adequação ao risco real e sem evidência de divulgação/aceite</t>
  </si>
  <si>
    <t xml:space="preserve">Inaplicabilidade prática das regras; responsabilização por omissão em caso de desvio de colaborador</t>
  </si>
  <si>
    <t xml:space="preserve">Ciclo de revisão documental + aceite formal (assinatura eletrônica) por 100% dos colaboradores</t>
  </si>
  <si>
    <t xml:space="preserve">Versão vigente do código/políticas, termo de aceite, registro de treinamento associado</t>
  </si>
  <si>
    <t xml:space="preserve">Anual (revisão) / admissão de colaborador</t>
  </si>
  <si>
    <t xml:space="preserve">Taxa de aceite abaixo de meta definida</t>
  </si>
  <si>
    <t xml:space="preserve">Campanha de regularização de aceite + atualização do conteúdo desatualizado</t>
  </si>
  <si>
    <t xml:space="preserve">Compliance / RH</t>
  </si>
  <si>
    <t xml:space="preserve">Antes do fechamento do ciclo de conformidade</t>
  </si>
  <si>
    <t xml:space="preserve">É a maior área do questionário (49 perguntas) — alta superfície de exposição</t>
  </si>
  <si>
    <t xml:space="preserve">Base normativa de todo o programa; falha aqui contamina múltiplos controles</t>
  </si>
  <si>
    <t xml:space="preserve">RM-05</t>
  </si>
  <si>
    <t xml:space="preserve">Treinamento de integridade não realizado, não mensurado ou sem público-alvo definido (incl. terceiros/alta direção)</t>
  </si>
  <si>
    <t xml:space="preserve">Ausência de trilha obrigatória, sem registro de frequência/aproveitamento, sem segmentação por risco de função</t>
  </si>
  <si>
    <t xml:space="preserve">Alegação de desconhecimento das regras como defesa em processo disciplinar; baixa eficácia preventiva</t>
  </si>
  <si>
    <t xml:space="preserve">Trilha obrigatória com reforço periódico e teste de aproveitamento</t>
  </si>
  <si>
    <t xml:space="preserve">Lista de presença/conclusão, conteúdo programático, resultado de avaliação, certificado</t>
  </si>
  <si>
    <t xml:space="preserve">Anual + admissão + mudança de função de risco</t>
  </si>
  <si>
    <t xml:space="preserve">Cobertura de treinamento abaixo de 100% no público obrigatório</t>
  </si>
  <si>
    <t xml:space="preserve">Convocação direcionada e reposição de conteúdo pendente</t>
  </si>
  <si>
    <t xml:space="preserve">Compliance / RH / T&amp;D</t>
  </si>
  <si>
    <t xml:space="preserve">Ciclo anual</t>
  </si>
  <si>
    <t xml:space="preserve">Alta rotatividade e terceirização dificultam cobertura completa</t>
  </si>
  <si>
    <t xml:space="preserve">Reduz mas não elimina o programa se falhar isoladamente</t>
  </si>
  <si>
    <t xml:space="preserve">RM-06</t>
  </si>
  <si>
    <t xml:space="preserve">Canal de denúncias sem sigilo/anonimato efetivo, sem investigação estruturada ou sem aplicação de sanção</t>
  </si>
  <si>
    <t xml:space="preserve">Compliance/Legal</t>
  </si>
  <si>
    <t xml:space="preserve">Canal operado por área sem independência; ausência de fluxo formal de apuração; impunidade em casos confirmados</t>
  </si>
  <si>
    <t xml:space="preserve">Retaliação a denunciantes, subnotificação, risco trabalhista e descaracterização do programa perante o Poder Público</t>
  </si>
  <si>
    <t xml:space="preserve">Canal terceirizado/independente + protocolo de apuração com prazos e comitê de ética</t>
  </si>
  <si>
    <t xml:space="preserve">Política do canal, estatística de denúncias, relatórios de apuração, evidência de sanção/arquivamento fundamentado</t>
  </si>
  <si>
    <t xml:space="preserve">Contínua (canal) / mensal (relatório)</t>
  </si>
  <si>
    <t xml:space="preserve">Denúncia sem movimentação dentro do SLA do protocolo</t>
  </si>
  <si>
    <t xml:space="preserve">Escalar apuração pendente e revisar independência do canal</t>
  </si>
  <si>
    <t xml:space="preserve">Comitê de Ética / Compliance</t>
  </si>
  <si>
    <t xml:space="preserve">Conforme SLA do protocolo interno</t>
  </si>
  <si>
    <t xml:space="preserve">Item de alta sensibilidade e recorrência em auditorias CGU</t>
  </si>
  <si>
    <t xml:space="preserve">Falha aqui é frequentemente decisiva na avaliação de efetividade do programa</t>
  </si>
  <si>
    <t xml:space="preserve">RM-07</t>
  </si>
  <si>
    <t xml:space="preserve">Relações institucionais, doações e patrocínios sem transparência ou aprovação formal</t>
  </si>
  <si>
    <t xml:space="preserve">Reputacional/Legal</t>
  </si>
  <si>
    <t xml:space="preserve">Ausência de política e trilha de aprovação para doações, patrocínios e relacionamento com agentes públicos/entidades</t>
  </si>
  <si>
    <t xml:space="preserve">Exposição a caracterização de vantagem indevida ou financiamento irregular; dano reputacional</t>
  </si>
  <si>
    <t xml:space="preserve">Política de doações/patrocínios com alçada de aprovação e checagem de contraparte</t>
  </si>
  <si>
    <t xml:space="preserve">Política vigente, formulário de aprovação, registro contábil vinculado</t>
  </si>
  <si>
    <t xml:space="preserve">A cada operação + revisão anual da política</t>
  </si>
  <si>
    <t xml:space="preserve">Doação/patrocínio sem aprovação prévia registrada</t>
  </si>
  <si>
    <t xml:space="preserve">Bloquear pagamento até regularização da aprovação</t>
  </si>
  <si>
    <t xml:space="preserve">Financeiro / Jurídico / Compliance</t>
  </si>
  <si>
    <t xml:space="preserve">Antes da liquidação financeira</t>
  </si>
  <si>
    <t xml:space="preserve">Item frequentemente informal em empresas de menor porte</t>
  </si>
  <si>
    <t xml:space="preserve">Exposição relevante mas normalmente de menor recorrência que canal de denúncia</t>
  </si>
  <si>
    <t xml:space="preserve">RM-08</t>
  </si>
  <si>
    <t xml:space="preserve">Controles financeiros insuficientes para detectar pagamentos/registros irregulares</t>
  </si>
  <si>
    <t xml:space="preserve">Financeiro/Legal</t>
  </si>
  <si>
    <t xml:space="preserve">Ausência de segregação de função, trilha de auditoria ou conciliação periódica de contas sensíveis (caixa, viagens, brindes)</t>
  </si>
  <si>
    <t xml:space="preserve">Registro contábil que mascare vantagem indevida; base para autuação e responsabilização objetiva (Lei 12.846/2013)</t>
  </si>
  <si>
    <t xml:space="preserve">Segregação de função + auditoria periódica de contas de risco + due diligence de despesas sensíveis</t>
  </si>
  <si>
    <t xml:space="preserve">Relatório de auditoria, plano de contas, política de aprovação de despesas, amostragem testada</t>
  </si>
  <si>
    <t xml:space="preserve">Divergência não explicada em conta de risco</t>
  </si>
  <si>
    <t xml:space="preserve">Investigar, corrigir registro e reforçar controle da origem</t>
  </si>
  <si>
    <t xml:space="preserve">Controladoria / Auditoria Interna</t>
  </si>
  <si>
    <t xml:space="preserve">Fechamento contábil do período</t>
  </si>
  <si>
    <t xml:space="preserve">Menor volume de perguntas, mas item tecnicamente sensível</t>
  </si>
  <si>
    <t xml:space="preserve">Base probatória direta em processos de responsabilização</t>
  </si>
  <si>
    <t xml:space="preserve">RM-09</t>
  </si>
  <si>
    <t xml:space="preserve">Contratação de terceiros/fusões e aquisições sem due diligence de integridade</t>
  </si>
  <si>
    <t xml:space="preserve">Ausência de checklist de integridade, checagem de listas restritivas e cláusulas anticorrupção em contratos/operações societárias</t>
  </si>
  <si>
    <t xml:space="preserve">Responsabilização por atos de terceiros (Lei 12.846/2013), herança de passivo em M&amp;A, exposição a sanção/lista restritiva</t>
  </si>
  <si>
    <t xml:space="preserve">Due diligence obrigatória por nível de risco + cláusula anticorrupção padrão + monitoramento contínuo pós-contratação</t>
  </si>
  <si>
    <t xml:space="preserve">Checklist de due diligence, checagem em listas restritivas, cláusula contratual, parecer de aprovação</t>
  </si>
  <si>
    <t xml:space="preserve">Na contratação + revisão periódica + antes de operação de M&amp;A</t>
  </si>
  <si>
    <t xml:space="preserve">Contrato vigente sem due diligence registrada</t>
  </si>
  <si>
    <t xml:space="preserve">Suspender/regularizar due diligence pendente e reavaliar continuidade do vínculo</t>
  </si>
  <si>
    <t xml:space="preserve">Compliance / Jurídico / Suprimentos</t>
  </si>
  <si>
    <t xml:space="preserve">Antes da assinatura ou closing da operação</t>
  </si>
  <si>
    <t xml:space="preserve">Segunda maior área do questionário; alta rotatividade de fornecedores eleva exposição</t>
  </si>
  <si>
    <t xml:space="preserve">Um dos vetores mais comuns de responsabilização de empresas em processos reais</t>
  </si>
  <si>
    <t xml:space="preserve">RM-10</t>
  </si>
  <si>
    <t xml:space="preserve">Ausência de indicadores, auditoria interna ou plano de melhoria contínua do programa de integridade</t>
  </si>
  <si>
    <t xml:space="preserve">Programa sem KPI, sem auditoria periódica de efetividade e sem ciclo formal de atualização</t>
  </si>
  <si>
    <t xml:space="preserve">Programa estático, incapaz de reagir a novos riscos; baixa pontuação no critério de efetividade/melhoria contínua</t>
  </si>
  <si>
    <t xml:space="preserve">Painel de indicadores + auditoria interna anual do próprio programa de integridade</t>
  </si>
  <si>
    <t xml:space="preserve">Relatório de indicadores, plano de auditoria, ata de revisão do programa</t>
  </si>
  <si>
    <t xml:space="preserve">Anual</t>
  </si>
  <si>
    <t xml:space="preserve">Ciclo de revisão do programa não realizado no prazo</t>
  </si>
  <si>
    <t xml:space="preserve">Executar auditoria interna do programa e atualizar plano de ação</t>
  </si>
  <si>
    <t xml:space="preserve">Compliance / Auditoria Interna</t>
  </si>
  <si>
    <t xml:space="preserve">Menor área do questionário, mas frequentemente negligenciada por falta de rotina</t>
  </si>
  <si>
    <t xml:space="preserve">Impacto indireto: compromete a melhoria contínua, não um controle específico</t>
  </si>
  <si>
    <t xml:space="preserve">RM-11</t>
  </si>
  <si>
    <t xml:space="preserve">ISO 37301/37001</t>
  </si>
  <si>
    <t xml:space="preserve">Análise de contexto (interno/externo) não documentada ou não revisada</t>
  </si>
  <si>
    <t xml:space="preserve">Estratégico/Compliance</t>
  </si>
  <si>
    <t xml:space="preserve">Reaproveitamento do Perfil CGU sem análise formal de contexto exigida pela ISO</t>
  </si>
  <si>
    <t xml:space="preserve">Não conformidade em auditoria de certificação (maior nº de lacunas do bloco ISO nesta cláusula)</t>
  </si>
  <si>
    <t xml:space="preserve">Produzir análise de contexto formal com data de revisão, a partir dos dados já coletados no Perfil</t>
  </si>
  <si>
    <t xml:space="preserve">Análise de contexto aprovada, com data de revisão</t>
  </si>
  <si>
    <t xml:space="preserve">Análise de contexto sem revisão no ciclo</t>
  </si>
  <si>
    <t xml:space="preserve">Elaborar/atualizar documento formal de contexto</t>
  </si>
  <si>
    <t xml:space="preserve">Compliance / Sistema de Gestão</t>
  </si>
  <si>
    <t xml:space="preserve">Antes da auditoria de certificação</t>
  </si>
  <si>
    <t xml:space="preserve">4 de 7 itens desta cláusula estão como NAO_PREVISTO no diagnóstico atual</t>
  </si>
  <si>
    <t xml:space="preserve">Cláusula de entrada do sistema de gestão; impacta o desenho das demais</t>
  </si>
  <si>
    <t xml:space="preserve">RM-12</t>
  </si>
  <si>
    <t xml:space="preserve">Política e responsabilidades de liderança não formalizadas no padrão exigido pela ISO</t>
  </si>
  <si>
    <t xml:space="preserve">Comprometimento da alta direção documentado para a CGU, mas sem a formalização adicional exigida pela norma (política assinada, papéis e autoridades)</t>
  </si>
  <si>
    <t xml:space="preserve">Cláusula crítica para certificação; é a mais auditada em processos de certificação ISO</t>
  </si>
  <si>
    <t xml:space="preserve">Formalizar política de compliance/antissuborno assinada e matriz de papéis e autoridades</t>
  </si>
  <si>
    <t xml:space="preserve">Política assinada, ata de aprovação, matriz de papéis e responsabilidades</t>
  </si>
  <si>
    <t xml:space="preserve">Política sem assinatura vigente da alta direção</t>
  </si>
  <si>
    <t xml:space="preserve">Submeter política à aprovação e assinatura formal</t>
  </si>
  <si>
    <t xml:space="preserve">Alta Direção</t>
  </si>
  <si>
    <t xml:space="preserve">Maioria dos itens já COBERTO/PARCIAL — lacuna é de formalização, não de prática</t>
  </si>
  <si>
    <t xml:space="preserve">Cláusula-chave de liderança é o item mais verificado por auditores de certificação</t>
  </si>
  <si>
    <t xml:space="preserve">RM-13</t>
  </si>
  <si>
    <t xml:space="preserve">Objetivos de compliance e tratamento de riscos não formalizados em plano de ação com metas e prazos</t>
  </si>
  <si>
    <t xml:space="preserve">Estratégico/Operacional</t>
  </si>
  <si>
    <t xml:space="preserve">Gestão de riscos praticada (bloco CGU), mas sem objetivos SMART e planejamento formal de ações</t>
  </si>
  <si>
    <t xml:space="preserve">Sistema de gestão sem direcionamento mensurável; dificuldade de demonstrar melhoria contínua</t>
  </si>
  <si>
    <t xml:space="preserve">Definir objetivos de compliance com indicador, meta e prazo, derivados da matriz de riscos</t>
  </si>
  <si>
    <t xml:space="preserve">Plano de objetivos e metas, indicadores associados</t>
  </si>
  <si>
    <t xml:space="preserve">Objetivo sem meta ou prazo definido</t>
  </si>
  <si>
    <t xml:space="preserve">Reformular objetivo com meta SMART</t>
  </si>
  <si>
    <t xml:space="preserve">Compliance</t>
  </si>
  <si>
    <t xml:space="preserve">Início do ciclo de planejamento</t>
  </si>
  <si>
    <t xml:space="preserve">Menor volume de itens (3), mas cláusula pouco estruturada nas empresas em fase inicial</t>
  </si>
  <si>
    <t xml:space="preserve">Impacto moderado — cláusula de planejamento, não de execução</t>
  </si>
  <si>
    <t xml:space="preserve">RM-14</t>
  </si>
  <si>
    <t xml:space="preserve">Recursos, competências e comunicação do sistema de gestão insuficientes ou não documentados</t>
  </si>
  <si>
    <t xml:space="preserve">Operacional</t>
  </si>
  <si>
    <t xml:space="preserve">Treinamento (bloco CGU) não mapeado como 'competência exigida' formal da norma; comunicação interna/externa sem plano</t>
  </si>
  <si>
    <t xml:space="preserve">Auditor não encontra rastreabilidade entre função de risco e competência exigida/desenvolvida</t>
  </si>
  <si>
    <t xml:space="preserve">Matriz de competências por função de risco + plano de comunicação interna/externa</t>
  </si>
  <si>
    <t xml:space="preserve">Matriz de competências, plano de comunicação, registros de treinamento vinculados</t>
  </si>
  <si>
    <t xml:space="preserve">Função de risco sem competência mapeada</t>
  </si>
  <si>
    <t xml:space="preserve">Atualizar matriz de competências e planejar capacitação</t>
  </si>
  <si>
    <t xml:space="preserve">RH / Compliance</t>
  </si>
  <si>
    <t xml:space="preserve">Metade dos itens já PARCIAL — lacuna de formalização predominante</t>
  </si>
  <si>
    <t xml:space="preserve">Suporte à operação; impacto moderado se isolado</t>
  </si>
  <si>
    <t xml:space="preserve">RM-15</t>
  </si>
  <si>
    <t xml:space="preserve">Controles operacionais de compliance/antissuborno não padronizados ou sem procedimento documentado</t>
  </si>
  <si>
    <t xml:space="preserve">Operacional/Legal</t>
  </si>
  <si>
    <t xml:space="preserve">Controles existem na prática (maioria COBERTO), mas sem procedimento operacional padrão (POP) formalizado exigido pela ISO</t>
  </si>
  <si>
    <t xml:space="preserve">Risco de inconsistência de aplicação entre áreas/unidades apesar de o controle existir</t>
  </si>
  <si>
    <t xml:space="preserve">Padronizar POPs a partir dos controles já praticados e evidenciados na Conformidade</t>
  </si>
  <si>
    <t xml:space="preserve">Procedimento operacional documentado, registro de execução do controle</t>
  </si>
  <si>
    <t xml:space="preserve">Anual (revisão de POP)</t>
  </si>
  <si>
    <t xml:space="preserve">Controle praticado sem POP formal correspondente</t>
  </si>
  <si>
    <t xml:space="preserve">Documentar POP do controle já existente</t>
  </si>
  <si>
    <t xml:space="preserve">Compliance / Áreas operacionais</t>
  </si>
  <si>
    <t xml:space="preserve">9 de 11 itens já COBERTO — menor probabilidade de gap real</t>
  </si>
  <si>
    <t xml:space="preserve">Cláusula central da certificação (execução do sistema)</t>
  </si>
  <si>
    <t xml:space="preserve">RM-16</t>
  </si>
  <si>
    <t xml:space="preserve">Monitoramento, auditoria interna e análise crítica do sistema de gestão não formalizados</t>
  </si>
  <si>
    <t xml:space="preserve">Monitoramento do programa (bloco CGU) não estruturado como auditoria interna do sistema de gestão nem como análise crítica pela direção</t>
  </si>
  <si>
    <t xml:space="preserve">Sistema sem ciclo PDCA fechado; achado típico em auditoria de certificação/manutenção</t>
  </si>
  <si>
    <t xml:space="preserve">Programa de auditoria interna do sistema de gestão + análise crítica periódica pela alta direção</t>
  </si>
  <si>
    <t xml:space="preserve">Plano e relatório de auditoria interna, ata de análise crítica</t>
  </si>
  <si>
    <t xml:space="preserve">Auditoria interna do sistema não realizada no ciclo</t>
  </si>
  <si>
    <t xml:space="preserve">Executar auditoria interna e registrar análise crítica</t>
  </si>
  <si>
    <t xml:space="preserve">Alta Direção / Auditoria Interna</t>
  </si>
  <si>
    <t xml:space="preserve">Antes da auditoria externa de certificação/manutenção</t>
  </si>
  <si>
    <t xml:space="preserve">Mais da metade dos itens ainda PARCIAL</t>
  </si>
  <si>
    <t xml:space="preserve">Fecha o ciclo de melhoria contínua exigido pela norma</t>
  </si>
  <si>
    <t xml:space="preserve">RM-17</t>
  </si>
  <si>
    <t xml:space="preserve">Não conformidades e ações corretivas do sistema de gestão sem tratamento formal</t>
  </si>
  <si>
    <t xml:space="preserve">Ausência de processo estruturado de tratamento de não conformidade e ação corretiva com verificação de eficácia</t>
  </si>
  <si>
    <t xml:space="preserve">Recorrência de falhas já identificadas por falta de verificação de eficácia da correção</t>
  </si>
  <si>
    <t xml:space="preserve">Processo formal de não conformidade/ação corretiva com verificação de eficácia</t>
  </si>
  <si>
    <t xml:space="preserve">Registro de não conformidade, plano de ação corretiva, evidência de verificação de eficácia</t>
  </si>
  <si>
    <t xml:space="preserve">Contínua, por evento</t>
  </si>
  <si>
    <t xml:space="preserve">Ação corretiva sem verificação de eficácia registrada</t>
  </si>
  <si>
    <t xml:space="preserve">Fechar o ciclo com verificação de eficácia</t>
  </si>
  <si>
    <t xml:space="preserve">Conforme prazo do plano de ação</t>
  </si>
  <si>
    <t xml:space="preserve">Ambos os itens desta cláusula ainda PARCIAL</t>
  </si>
  <si>
    <t xml:space="preserve">Cláusula final do ciclo PDCA; impacto moderado se isolada</t>
  </si>
  <si>
    <t xml:space="preserve">Cenários de estresse: ative (1) ou desative (0) e veja o efeito no RISCO_SIMULADOR</t>
  </si>
  <si>
    <t xml:space="preserve">Os deslocamentos de P e I por cenário vêm do portal (STRESS). Edite a coluna B para ligar cenários e as matrizes para calibrar.</t>
  </si>
  <si>
    <t xml:space="preserve">Cenário</t>
  </si>
  <si>
    <t xml:space="preserve">Ativo (1/0)</t>
  </si>
  <si>
    <t xml:space="preserve">Descrição</t>
  </si>
  <si>
    <t xml:space="preserve">E1</t>
  </si>
  <si>
    <t xml:space="preserve">Denúncia grave envolvendo um diretor</t>
  </si>
  <si>
    <t xml:space="preserve">E2</t>
  </si>
  <si>
    <t xml:space="preserve">Terceiro ou intermediário investigado</t>
  </si>
  <si>
    <t xml:space="preserve">E3</t>
  </si>
  <si>
    <t xml:space="preserve">Entrada de sócio ou operação de M&amp;A</t>
  </si>
  <si>
    <t xml:space="preserve">E4</t>
  </si>
  <si>
    <t xml:space="preserve">Auditoria externa ou pedido de comprovação (licitação/certificação)</t>
  </si>
  <si>
    <t xml:space="preserve">E5</t>
  </si>
  <si>
    <t xml:space="preserve">Crescimento rápido da equipe (+30%)</t>
  </si>
  <si>
    <t xml:space="preserve">Δ Probabilidade por cenário e risco</t>
  </si>
  <si>
    <t xml:space="preserve">Δ Impacto por cenário e risco</t>
  </si>
  <si>
    <t xml:space="preserve">Simulador de riscos — altere probabilidade e impacto, ligue cenários de estresse e veja o efeito das ações do PMO</t>
  </si>
  <si>
    <t xml:space="preserve">P simulado = P base + estresse + ajuste manual − (fração das ações do risco concluídas no PMO × redução máxima). Limitado a 1–5.</t>
  </si>
  <si>
    <t xml:space="preserve">Cenários de estresse ativos (aba RISCO_ESTRESSE):</t>
  </si>
  <si>
    <t xml:space="preserve">Riscos Críticos hoje → simulado:</t>
  </si>
  <si>
    <t xml:space="preserve">P base</t>
  </si>
  <si>
    <t xml:space="preserve">I base</t>
  </si>
  <si>
    <t xml:space="preserve">Score base</t>
  </si>
  <si>
    <t xml:space="preserve">Nível base</t>
  </si>
  <si>
    <t xml:space="preserve">Δ P estresse</t>
  </si>
  <si>
    <t xml:space="preserve">Δ I estresse</t>
  </si>
  <si>
    <t xml:space="preserve">Ajuste manual P</t>
  </si>
  <si>
    <t xml:space="preserve">Ajuste manual I</t>
  </si>
  <si>
    <t xml:space="preserve">Fração das ações concluídas (PMO)</t>
  </si>
  <si>
    <t xml:space="preserve">Redução de P (PMO)</t>
  </si>
  <si>
    <t xml:space="preserve">Redução de I (PMO)</t>
  </si>
  <si>
    <t xml:space="preserve">P simulado</t>
  </si>
  <si>
    <t xml:space="preserve">I simulado</t>
  </si>
  <si>
    <t xml:space="preserve">Score simulado</t>
  </si>
  <si>
    <t xml:space="preserve">Nível simulado</t>
  </si>
  <si>
    <t xml:space="preserve">Δ score</t>
  </si>
  <si>
    <t xml:space="preserve">Acima do apetite?</t>
  </si>
  <si>
    <t xml:space="preserve">Total / contagem</t>
  </si>
  <si>
    <t xml:space="preserve">Mapa de calor 5×5: nº de riscos por probabilidade × impacto</t>
  </si>
  <si>
    <t xml:space="preserve">Esquerda: base (RISCO_MATRIZ_17). Direita: simulado (RISCO_SIMULADOR, valores arredondados).</t>
  </si>
  <si>
    <t xml:space="preserve">Base (inerente)</t>
  </si>
  <si>
    <t xml:space="preserve">Simulado</t>
  </si>
  <si>
    <t xml:space="preserve">P \ I</t>
  </si>
  <si>
    <t xml:space="preserve">Cores: verde = Baixo (&lt;5) · amarelo = Moderado (5–9) · laranja = Alto (10–19) · vermelho = Crítico (≥20). Cores fixas pela posição; contagens são fórmulas.</t>
  </si>
  <si>
    <t xml:space="preserve">Simulador de pontuação Pró-Ética — quanto falta para a meta e quais ações fecham o gap</t>
  </si>
  <si>
    <t xml:space="preserve">Informe em D o % já atendido hoje por área (estimativa). Marque em PMO_BIBLIOTECA_25 (coluna S) as ações do cenário; o ganho entra proporcional ao que falta.</t>
  </si>
  <si>
    <t xml:space="preserve">Teto (pts)</t>
  </si>
  <si>
    <t xml:space="preserve">% atendido hoje (input)</t>
  </si>
  <si>
    <t xml:space="preserve">Pontos hoje</t>
  </si>
  <si>
    <t xml:space="preserve">Mínimo da área</t>
  </si>
  <si>
    <t xml:space="preserve">Ganho das ações do cenário</t>
  </si>
  <si>
    <t xml:space="preserve">Pontos no cenário</t>
  </si>
  <si>
    <t xml:space="preserve">% no cenário</t>
  </si>
  <si>
    <t xml:space="preserve">Atende o mínimo?</t>
  </si>
  <si>
    <t xml:space="preserve">Gap para o mínimo (pts)</t>
  </si>
  <si>
    <t xml:space="preserve">Pontuação hoje</t>
  </si>
  <si>
    <t xml:space="preserve">Pontuação no cenário</t>
  </si>
  <si>
    <t xml:space="preserve">Meta (RISCO_PARAMETROS)</t>
  </si>
  <si>
    <t xml:space="preserve">Gap para a meta (pts)</t>
  </si>
  <si>
    <t xml:space="preserve">Áreas abaixo do mínimo</t>
  </si>
  <si>
    <t xml:space="preserve">Resultado do cenário</t>
  </si>
  <si>
    <t xml:space="preserve">Esforço do cenário (dias-pessoa)</t>
  </si>
  <si>
    <t xml:space="preserve">Prazo estimado (meses)</t>
  </si>
  <si>
    <t xml:space="preserve">Custo estimado (R$)</t>
  </si>
  <si>
    <t xml:space="preserve">Limites: o ganho usa os pesos da CONFORMIDADE_223 (soma dos pontos das perguntas abertas de cada ação) e supõe que a ação, uma vez concluída, faz a empresa responder "Sim" a todas elas; é uma estimativa de planejamento, não pontuação oficial da CGU.</t>
  </si>
  <si>
    <t xml:space="preserve">Biblioteca de ações do PMO (25): 18 CGU + 7 ISO — esforço, ganho e prioridade</t>
  </si>
  <si>
    <t xml:space="preserve">Prioridade = 50×MIN(1, score do risco/25) + 30×MIN(1, ganho/6); índice = prioridade ÷ √esforço (versão simplificada do portal, sem o bônus de bloqueio dos 45%).</t>
  </si>
  <si>
    <t xml:space="preserve">Bloco</t>
  </si>
  <si>
    <t xml:space="preserve">Ação</t>
  </si>
  <si>
    <t xml:space="preserve">Risco vinculado</t>
  </si>
  <si>
    <t xml:space="preserve">Nº perguntas</t>
  </si>
  <si>
    <t xml:space="preserve">Pontos Pró-Ética em jogo</t>
  </si>
  <si>
    <t xml:space="preserve">Dependência</t>
  </si>
  <si>
    <t xml:space="preserve">Responsável sugerido</t>
  </si>
  <si>
    <t xml:space="preserve">Evidência esperada</t>
  </si>
  <si>
    <t xml:space="preserve">Prazo sugerido (risco)</t>
  </si>
  <si>
    <t xml:space="preserve">Esforço (dias-pessoa)</t>
  </si>
  <si>
    <t xml:space="preserve">Score do risco</t>
  </si>
  <si>
    <t xml:space="preserve">Ganho esperado (pts)</t>
  </si>
  <si>
    <t xml:space="preserve">Prioridade (0–80)</t>
  </si>
  <si>
    <t xml:space="preserve">Índice (prio ÷ √esforço)</t>
  </si>
  <si>
    <t xml:space="preserve">Ranking</t>
  </si>
  <si>
    <t xml:space="preserve">Incluir no cenário Pró-Ética (1/0)</t>
  </si>
  <si>
    <t xml:space="preserve">Perguntas vinculadas</t>
  </si>
  <si>
    <t xml:space="preserve">ACT-01</t>
  </si>
  <si>
    <t xml:space="preserve">CGU</t>
  </si>
  <si>
    <t xml:space="preserve">Formalizar o apoio da alta direção: termo de compromisso, mensagem pública e orçamento do programa de integridade</t>
  </si>
  <si>
    <t xml:space="preserve">QPE-001; QPE-004; QPE-019; QPE-003; QPE-008; QPE-009; QPE-011</t>
  </si>
  <si>
    <t xml:space="preserve">ACT-02</t>
  </si>
  <si>
    <t xml:space="preserve">Instituir o rito trimestral de supervisão do programa pela alta direção (pauta, ata, relatório e presença) e guardar a evidência de cada ciclo</t>
  </si>
  <si>
    <t xml:space="preserve">QPE-006; QPE-002; QPE-005; QPE-013; QPE-014; QPE-020; QPE-007; QPE-010; QPE-012; QPE-015; QPE-016; QPE-017; QPE-018; QPE-021; QPE-022; QPE-023</t>
  </si>
  <si>
    <t xml:space="preserve">ACT-03</t>
  </si>
  <si>
    <t xml:space="preserve">Formalizar a instância de integridade: ato de criação, regimento, independência, linha de reporte e orçamento</t>
  </si>
  <si>
    <t xml:space="preserve">QPE-024; QPE-025; QPE-026; QPE-027; QPE-028; QPE-029; QPE-030; QPE-031; QPE-033; QPE-035</t>
  </si>
  <si>
    <t xml:space="preserve">ACT-04</t>
  </si>
  <si>
    <t xml:space="preserve">Registrar a atuação da instância: relatórios periódicos e reuniões com a alta direção</t>
  </si>
  <si>
    <t xml:space="preserve">QPE-032; QPE-034; QPE-036</t>
  </si>
  <si>
    <t xml:space="preserve">ACT-05</t>
  </si>
  <si>
    <t xml:space="preserve">Aprovar a metodologia de gestão de riscos de integridade, com critérios P×I e gatilhos de revisão</t>
  </si>
  <si>
    <t xml:space="preserve">QPE-037; QPE-038; QPE-039; QPE-040</t>
  </si>
  <si>
    <t xml:space="preserve">ACT-06</t>
  </si>
  <si>
    <t xml:space="preserve">Executar e documentar a análise de riscos de integridade (matriz) e o plano de tratamento</t>
  </si>
  <si>
    <t xml:space="preserve">QPE-041; QPE-042; QPE-043; QPE-044; QPE-050; QPE-045; QPE-046; QPE-047; QPE-048; QPE-049</t>
  </si>
  <si>
    <t xml:space="preserve">ACT-07</t>
  </si>
  <si>
    <t xml:space="preserve">Revisar e aprovar o Código de Ética e as políticas essenciais, com versão, vigência e alcance</t>
  </si>
  <si>
    <t xml:space="preserve">QPE-051; QPE-075; QPE-052; QPE-053; QPE-055; QPE-056; QPE-061; QPE-062; QPE-073; QPE-074; QPE-076; QPE-078; QPE-093; QPE-054; QPE-057; QPE-058; QPE-059; QPE-060; QPE-063; QPE-064; QPE-065; QPE-067; QPE-068; QPE-069; QPE-070; QPE-077; QPE-079; QPE-080; QPE-081; QPE-082; QPE-085; QPE-086; QPE-088; QPE-089; QPE-090; QPE-091; QPE-092; QPE-094; QPE-095; QPE-096; QPE-097; QPE-098; QPE-066; QPE-071; QPE-087</t>
  </si>
  <si>
    <t xml:space="preserve">ACT-08</t>
  </si>
  <si>
    <t xml:space="preserve">Colher o aceite do Código e das políticas por 100% dos colaboradores e registrar a divulgação</t>
  </si>
  <si>
    <t xml:space="preserve">QPE-072; QPE-083; QPE-224; QPE-099</t>
  </si>
  <si>
    <t xml:space="preserve">ACT-09</t>
  </si>
  <si>
    <t xml:space="preserve">Elaborar o plano de treinamento e comunicação de integridade (conteúdo, público, periodicidade e canais)</t>
  </si>
  <si>
    <t xml:space="preserve">QPE-103; QPE-100; QPE-101; QPE-102; QPE-104; QPE-105; QPE-118; QPE-119; QPE-120; QPE-126; QPE-129; QPE-130</t>
  </si>
  <si>
    <t xml:space="preserve">ACT-10</t>
  </si>
  <si>
    <t xml:space="preserve">Executar a trilha anual de treinamento, com lista de presença, teste e público-alvo (inclui alta direção e terceiros)</t>
  </si>
  <si>
    <t xml:space="preserve">QPE-107; QPE-128; QPE-112; QPE-114; QPE-122; QPE-123; QPE-124; QPE-125; QPE-106; QPE-108; QPE-109; QPE-110; QPE-111; QPE-113; QPE-115; QPE-116; QPE-117; QPE-121; QPE-127; QPE-131</t>
  </si>
  <si>
    <t xml:space="preserve">ACT-11</t>
  </si>
  <si>
    <t xml:space="preserve">Formalizar os controles contábeis e financeiros anticorrupção: segregação de funções, alçadas e contas de risco</t>
  </si>
  <si>
    <t xml:space="preserve">QPE-132; QPE-133; QPE-134; QPE-135; QPE-137; QPE-136</t>
  </si>
  <si>
    <t xml:space="preserve">ACT-12</t>
  </si>
  <si>
    <t xml:space="preserve">Testar os controles financeiros e auditar as contas de risco no período, registrando as exceções</t>
  </si>
  <si>
    <t xml:space="preserve">ACT-13</t>
  </si>
  <si>
    <t xml:space="preserve">Estruturar o canal de denúncias: sigilo e anonimato, protocolo de apuração com prazos, proteção ao denunciante e medidas disciplinares</t>
  </si>
  <si>
    <t xml:space="preserve">QPE-169; QPE-170; QPE-171; QPE-175; QPE-176; QPE-178; QPE-179; QPE-192; QPE-193; QPE-172; QPE-173; QPE-174; QPE-177; QPE-180; QPE-181; QPE-182; QPE-183; QPE-184; QPE-185; QPE-186; QPE-190; QPE-191; QPE-194; QPE-195; QPE-196</t>
  </si>
  <si>
    <t xml:space="preserve">ACT-14</t>
  </si>
  <si>
    <t xml:space="preserve">Operar o canal: triagem em 48 h, apuração, relatório periódico e sanções aplicadas (dados anonimizados)</t>
  </si>
  <si>
    <t xml:space="preserve">QPE-187; QPE-188; QPE-189; QPE-197</t>
  </si>
  <si>
    <t xml:space="preserve">ACT-15</t>
  </si>
  <si>
    <t xml:space="preserve">Instituir a política de due diligence de terceiros por nível de risco, com cláusula anticorrupção e checklist de M&amp;A</t>
  </si>
  <si>
    <t xml:space="preserve">QPE-144; QPE-147; QPE-152; QPE-160; QPE-163; QPE-164; QPE-143; QPE-145; QPE-146; QPE-148; QPE-149; QPE-150; QPE-151; QPE-153; QPE-154; QPE-155; QPE-156; QPE-157; QPE-162; QPE-165; QPE-166; QPE-167</t>
  </si>
  <si>
    <t xml:space="preserve">ACT-16</t>
  </si>
  <si>
    <t xml:space="preserve">Executar a due diligence dos terceiros críticos e checar as listas restritivas (CEIS/CNEP), com registro</t>
  </si>
  <si>
    <t xml:space="preserve">QPE-159; QPE-161; QPE-168; QPE-158</t>
  </si>
  <si>
    <t xml:space="preserve">ACT-17</t>
  </si>
  <si>
    <t xml:space="preserve">Montar o painel de indicadores e realizar a auditoria interna anual do programa, com plano de melhoria</t>
  </si>
  <si>
    <t xml:space="preserve">QPE-201; QPE-202; QPE-203; QPE-204; QPE-205; QPE-206; QPE-198; QPE-199; QPE-200</t>
  </si>
  <si>
    <t xml:space="preserve">ACT-18</t>
  </si>
  <si>
    <t xml:space="preserve">Formalizar e publicar a transparência: compromissos socioambientais, doações e patrocínios com alçada de aprovação</t>
  </si>
  <si>
    <t xml:space="preserve">QPE-218; QPE-207; QPE-208; QPE-209; QPE-211; QPE-212; QPE-214; QPE-215; QPE-216; QPE-210; QPE-213; QPE-217; QPE-221; QPE-219; QPE-220; QPE-222; QPE-223</t>
  </si>
  <si>
    <t xml:space="preserve">ACT-19</t>
  </si>
  <si>
    <t xml:space="preserve">Elaborar a análise de contexto da organização (reaproveitando os dados do Perfil) e fixar data de revisão</t>
  </si>
  <si>
    <t xml:space="preserve">ISO-01; ISO-02; ISO-03; ISO-04; ISO-05; ISO-06; ISO-07</t>
  </si>
  <si>
    <t xml:space="preserve">ACT-20</t>
  </si>
  <si>
    <t xml:space="preserve">Formalizar a política de compliance e antissuborno assinada e a matriz de papéis e autoridades</t>
  </si>
  <si>
    <t xml:space="preserve">ISO-08; ISO-09; ISO-10; ISO-11; ISO-12; ISO-13; ISO-14; ISO-15; ISO-16</t>
  </si>
  <si>
    <t xml:space="preserve">ACT-21</t>
  </si>
  <si>
    <t xml:space="preserve">ISO-17; ISO-18; ISO-19</t>
  </si>
  <si>
    <t xml:space="preserve">ACT-22</t>
  </si>
  <si>
    <t xml:space="preserve">Atualizar a matriz de competências e o plano de comunicação interna e externa</t>
  </si>
  <si>
    <t xml:space="preserve">ISO-20; ISO-21; ISO-22; ISO-23; ISO-24; ISO-25; ISO-26; ISO-27; ISO-28; ISO-29</t>
  </si>
  <si>
    <t xml:space="preserve">ACT-23</t>
  </si>
  <si>
    <t xml:space="preserve">Padronizar os procedimentos operacionais (POPs) dos controles já praticados</t>
  </si>
  <si>
    <t xml:space="preserve">ISO-30; ISO-31; ISO-32; ISO-33; ISO-34; ISO-35; ISO-36; ISO-37; ISO-38; ISO-39; ISO-40</t>
  </si>
  <si>
    <t xml:space="preserve">ACT-24</t>
  </si>
  <si>
    <t xml:space="preserve">Executar a auditoria interna do sistema de gestão e registrar a análise crítica pela alta direção</t>
  </si>
  <si>
    <t xml:space="preserve">ISO-41; ISO-42; ISO-43; ISO-44; ISO-45; ISO-46; ISO-47; ISO-48; ISO-49</t>
  </si>
  <si>
    <t xml:space="preserve">ACT-25</t>
  </si>
  <si>
    <t xml:space="preserve">Implantar o processo de não conformidade e ação corretiva, com verificação de eficácia</t>
  </si>
  <si>
    <t xml:space="preserve">ISO-50; ISO-51</t>
  </si>
  <si>
    <t xml:space="preserve">PMO de ações — quadro de acompanhamento</t>
  </si>
  <si>
    <t xml:space="preserve">Ordem inicial por prioridade (respeitando dependências). Edite Responsável, Status e %; as datas se recalculam pela capacidade da equipe. Linhas em branco no fim: ações próprias.</t>
  </si>
  <si>
    <t xml:space="preserve">A fazer</t>
  </si>
  <si>
    <t xml:space="preserve">Em andamento</t>
  </si>
  <si>
    <t xml:space="preserve">Concluída</t>
  </si>
  <si>
    <t xml:space="preserve">Bloqueada</t>
  </si>
  <si>
    <t xml:space="preserve">Cancelada</t>
  </si>
  <si>
    <t xml:space="preserve">Esforço aberto (dias-pessoa)</t>
  </si>
  <si>
    <t xml:space="preserve">Meses restantes</t>
  </si>
  <si>
    <t xml:space="preserve">% do plano concluído</t>
  </si>
  <si>
    <t xml:space="preserve">Legenda: azul sobre amarelo = campo editável; verde = vem da biblioteca. Datas: início do PMO + esforço acumulado ÷ capacidade mensal (RISCO_PARAMETROS).</t>
  </si>
  <si>
    <t xml:space="preserve">Ordem</t>
  </si>
  <si>
    <t xml:space="preserve">ID PMO</t>
  </si>
  <si>
    <t xml:space="preserve">Ação da biblioteca</t>
  </si>
  <si>
    <t xml:space="preserve">Título da ação</t>
  </si>
  <si>
    <t xml:space="preserve">Início previsto</t>
  </si>
  <si>
    <t xml:space="preserve">Prazo previsto</t>
  </si>
  <si>
    <t xml:space="preserve">% concluído</t>
  </si>
  <si>
    <t xml:space="preserve">PMO-001</t>
  </si>
  <si>
    <t xml:space="preserve">PMO-002</t>
  </si>
  <si>
    <t xml:space="preserve">PMO-003</t>
  </si>
  <si>
    <t xml:space="preserve">PMO-004</t>
  </si>
  <si>
    <t xml:space="preserve">PMO-005</t>
  </si>
  <si>
    <t xml:space="preserve">PMO-006</t>
  </si>
  <si>
    <t xml:space="preserve">PMO-007</t>
  </si>
  <si>
    <t xml:space="preserve">PMO-008</t>
  </si>
  <si>
    <t xml:space="preserve">PMO-009</t>
  </si>
  <si>
    <t xml:space="preserve">PMO-010</t>
  </si>
  <si>
    <t xml:space="preserve">PMO-011</t>
  </si>
  <si>
    <t xml:space="preserve">PMO-012</t>
  </si>
  <si>
    <t xml:space="preserve">PMO-013</t>
  </si>
  <si>
    <t xml:space="preserve">PMO-014</t>
  </si>
  <si>
    <t xml:space="preserve">PMO-015</t>
  </si>
  <si>
    <t xml:space="preserve">PMO-016</t>
  </si>
  <si>
    <t xml:space="preserve">PMO-017</t>
  </si>
  <si>
    <t xml:space="preserve">PMO-018</t>
  </si>
  <si>
    <t xml:space="preserve">PMO-019</t>
  </si>
  <si>
    <t xml:space="preserve">PMO-020</t>
  </si>
  <si>
    <t xml:space="preserve">PMO-021</t>
  </si>
  <si>
    <t xml:space="preserve">PMO-022</t>
  </si>
  <si>
    <t xml:space="preserve">PMO-023</t>
  </si>
  <si>
    <t xml:space="preserve">PMO-024</t>
  </si>
  <si>
    <t xml:space="preserve">PMO-025</t>
  </si>
  <si>
    <t xml:space="preserve">PMO-026</t>
  </si>
  <si>
    <t xml:space="preserve">PMO-027</t>
  </si>
  <si>
    <t xml:space="preserve">PMO-028</t>
  </si>
  <si>
    <t xml:space="preserve">PMO-029</t>
  </si>
  <si>
    <t xml:space="preserve">PMO-030</t>
  </si>
  <si>
    <t xml:space="preserve">PMO-031</t>
  </si>
  <si>
    <t xml:space="preserve">PMO-032</t>
  </si>
  <si>
    <t xml:space="preserve">PMO-033</t>
  </si>
  <si>
    <t xml:space="preserve">PMO-034</t>
  </si>
  <si>
    <t xml:space="preserve">PMO-035</t>
  </si>
  <si>
    <t xml:space="preserve">Prioridades de remediação de gaps para o Comitê de Sócios</t>
  </si>
  <si>
    <t xml:space="preserve">Ranking automático (coluna Ranking de PMO_BIBLIOTECA_25). O Comitê preenche Decisão e Patrocinador; a decisão "Aprovar" pode ser levada ao PMO_PLANO.</t>
  </si>
  <si>
    <t xml:space="preserve">#</t>
  </si>
  <si>
    <t xml:space="preserve">Risco</t>
  </si>
  <si>
    <t xml:space="preserve">Pontos a ganhar</t>
  </si>
  <si>
    <t xml:space="preserve">Prioridade</t>
  </si>
  <si>
    <t xml:space="preserve">Janela sugerida</t>
  </si>
  <si>
    <t xml:space="preserve">Decisão do Comitê</t>
  </si>
  <si>
    <t xml:space="preserve">Patrocinador</t>
  </si>
  <si>
    <t xml:space="preserve">Prazo acordado</t>
  </si>
  <si>
    <t xml:space="preserve">Depende de</t>
  </si>
  <si>
    <t xml:space="preserve">Em análise</t>
  </si>
  <si>
    <t xml:space="preserve">Decisões do Comitê</t>
  </si>
  <si>
    <t xml:space="preserve">Aprovar</t>
  </si>
  <si>
    <t xml:space="preserve">Adiar</t>
  </si>
  <si>
    <t xml:space="preserve">Rejeitar</t>
  </si>
  <si>
    <t xml:space="preserve">Esforço das ações aprovadas (dias-pessoa)</t>
  </si>
  <si>
    <t xml:space="preserve">Base legal · Decreto 11.129/2022, art. 57: 15 parâmetros × 223 perguntas</t>
  </si>
  <si>
    <t xml:space="preserve">Fonte: portal (LG.inc, LG.q, LG.a). Paráfrases do portal — confira o texto oficial vigente. Contagem pela coluna J (incisos delimitados por "|").</t>
  </si>
  <si>
    <t xml:space="preserve">Inciso</t>
  </si>
  <si>
    <t xml:space="preserve">Parâmetro (paráfrase)</t>
  </si>
  <si>
    <t xml:space="preserve">Nº de perguntas ligadas</t>
  </si>
  <si>
    <t xml:space="preserve">Comprometimento da alta direção e dos conselhos, com apoio visível e recursos adequados</t>
  </si>
  <si>
    <t xml:space="preserve">Padrões de conduta, código de ética, políticas e procedimentos aplicáveis a todos</t>
  </si>
  <si>
    <t xml:space="preserve">Padrões de conduta e políticas estendidos a terceiros, quando necessário</t>
  </si>
  <si>
    <t xml:space="preserve">Treinamentos e ações de comunicação periódicos</t>
  </si>
  <si>
    <t xml:space="preserve">Gestão de riscos com análise e reavaliação periódica</t>
  </si>
  <si>
    <t xml:space="preserve">VI</t>
  </si>
  <si>
    <t xml:space="preserve">Registros contábeis completos e precisos</t>
  </si>
  <si>
    <t xml:space="preserve">Controles internos que assegurem relatórios e demonstrações financeiras confiáveis</t>
  </si>
  <si>
    <t xml:space="preserve">Procedimentos para prevenir fraudes e ilícitos em licitações, contratos e interações com o setor público</t>
  </si>
  <si>
    <t xml:space="preserve">Independência, estrutura e autoridade da instância de integridade</t>
  </si>
  <si>
    <t xml:space="preserve">Canais de denúncia abertos e divulgados, tratamento das denúncias e proteção ao denunciante de boa-fé</t>
  </si>
  <si>
    <t xml:space="preserve">Medidas disciplinares por violação do programa</t>
  </si>
  <si>
    <t xml:space="preserve">Pronta interrupção de irregularidades e remediação tempestiva dos danos</t>
  </si>
  <si>
    <t xml:space="preserve">Diligências baseadas em risco: terceiros, pessoas expostas politicamente, patrocínios e doações</t>
  </si>
  <si>
    <t xml:space="preserve">Verificação de irregularidades e vulnerabilidades em fusões, aquisições e reestruturações</t>
  </si>
  <si>
    <t xml:space="preserve">Monitoramento contínuo do programa para seu aperfeiçoamento</t>
  </si>
  <si>
    <t xml:space="preserve">Perguntas sem parâmetro do art. 57 (critérios próprios do Pró-Ética)</t>
  </si>
  <si>
    <t xml:space="preserve">Pergunta (início)</t>
  </si>
  <si>
    <t xml:space="preserve">Parâmetros do art. 57 (texto)</t>
  </si>
  <si>
    <t xml:space="preserve">Critério ampliado Pró-Ética</t>
  </si>
  <si>
    <t xml:space="preserve">Incisos (chave)</t>
  </si>
  <si>
    <t xml:space="preserve">A alta direção da empresa supervisiona a implantação e a aplicação do programa de integridade, por meio do recebimento e avaliação de relatórios periódicos de acompanhamento das atividades relacionadas ao programa de integridade, inclusive de suas controladas/subsidiárias, quando for o caso? Se sim,</t>
  </si>
  <si>
    <t xml:space="preserve">|I|</t>
  </si>
  <si>
    <t xml:space="preserve">A empresa possui área específica ou pessoa responsável pela aplicação do programa de integridade? Se sim, informar a data em que a área foi instituída ou em que a pessoa responsável foi contratada/designada para a função, o currículo do atual responsável pela instância interna, o processo de seleção</t>
  </si>
  <si>
    <t xml:space="preserve">|IX|</t>
  </si>
  <si>
    <t xml:space="preserve">|V|</t>
  </si>
  <si>
    <t xml:space="preserve">|II|</t>
  </si>
  <si>
    <t xml:space="preserve">|IV|</t>
  </si>
  <si>
    <t xml:space="preserve">|X|</t>
  </si>
  <si>
    <t xml:space="preserve">Padrões de conduta, código de ética, políticas e procedimentos aplicáveis a todos; Procedimentos para prevenir fraudes e ilícitos em licitações, contratos e interações com o setor público</t>
  </si>
  <si>
    <t xml:space="preserve">|II|VIII|</t>
  </si>
  <si>
    <t xml:space="preserve">A empresa possui políticas e procedimentos de integridade que: tratam da prevenção de conflito de interesses nas relações com a Administração Pública, incluindo contratações de agentes públicos, pessoas expostas politicamente, seus familiares, estreitos colaboradores e pessoas jurídicas de que parti</t>
  </si>
  <si>
    <t xml:space="preserve">|VIII|</t>
  </si>
  <si>
    <t xml:space="preserve">A empresa possui critérios de integridade formalizados para seleção dos candidatos aos cargos da alta direção, inclusive para escolha de membros da alta direção de suas controladas/subsidiárias, quando for o caso? Se sim, informar os cargos a que são aplicados, a forma como são considerados no proce</t>
  </si>
  <si>
    <t xml:space="preserve">A empresa aplica critérios de integridade para seleção dos candidatos aos cargos da alta direção, inclusive para escolha de membros da alta direção de suas controladas/subsidiárias, quando for o caso? Se sim, informar se foram aplicados no processo de seleção dos atuais membros da alta direção e dos</t>
  </si>
  <si>
    <t xml:space="preserve">Padrões de conduta, código de ética, políticas e procedimentos aplicáveis a todos; Medidas disciplinares por violação do programa</t>
  </si>
  <si>
    <t xml:space="preserve">|II|XI|</t>
  </si>
  <si>
    <t xml:space="preserve">|III|</t>
  </si>
  <si>
    <t xml:space="preserve">|XIII|</t>
  </si>
  <si>
    <t xml:space="preserve">Treinamentos e ações de comunicação periódicos; Padrões de conduta e políticas estendidos a terceiros, quando necessário</t>
  </si>
  <si>
    <t xml:space="preserve">|IV|III|</t>
  </si>
  <si>
    <t xml:space="preserve">Registros contábeis completos e precisos; Controles internos que assegurem relatórios e demonstrações financeiras confiáveis</t>
  </si>
  <si>
    <t xml:space="preserve">|VI|VII|</t>
  </si>
  <si>
    <t xml:space="preserve">|VII|</t>
  </si>
  <si>
    <t xml:space="preserve">Em relação à realização de diligências para contratação e supervisão de terceiros, a empresa possui políticas e procedimentos que: determinam a verificação da existência de programas de integridade implementados nos terceiros avaliados, para mitigar os riscos de corrupção e fraude contra a Administr</t>
  </si>
  <si>
    <t xml:space="preserve">Padrões de conduta e políticas estendidos a terceiros, quando necessário; Diligências baseadas em risco: terceiros, pessoas expostas politicamente, patrocínios e doações</t>
  </si>
  <si>
    <t xml:space="preserve">|III|XIII|</t>
  </si>
  <si>
    <t xml:space="preserve">|XIV|</t>
  </si>
  <si>
    <t xml:space="preserve">|XI|</t>
  </si>
  <si>
    <t xml:space="preserve">|XV|</t>
  </si>
  <si>
    <t xml:space="preserve">*A empresa realiza um monitoramento contínuo do programa de integridade por meio de: utilização de indicadores e estabelecimento de metas de desempenho sobre o programa de integridade, visando avaliar sua efetividade e cumprimento? (*Medida mínima prevista no art. 14 do Regulamento, de caráter obrig</t>
  </si>
  <si>
    <t xml:space="preserve">*A empresa realiza um monitoramento contínuo do programa de integridade por meio de: relatórios periódicos com dados e estatísticas sobre aplicação das principais políticas e procedimentos de integridade? Se sim, esclarecer os tipos de relatórios produzidos, o conteúdo neles abordado e os sistemas/s</t>
  </si>
  <si>
    <t xml:space="preserve">A instância interna responsável pelo programa de integridade: possui área ou equipe específica responsável pela aplicação do programa de integridade em suas subsidiárias no exterior? Se sim, indicar o número de funcionários dedicados exclusivamente às atividades relacionadas ao Programa de Integrida</t>
  </si>
  <si>
    <t xml:space="preserve">Padrões de conduta, código de ética, políticas e procedimentos aplicáveis a todos; Canais de denúncia abertos e divulgados, tratamento das denúncias e proteção ao denunciante de boa-fé</t>
  </si>
  <si>
    <t xml:space="preserve">|II|X|</t>
  </si>
  <si>
    <t xml:space="preserve">A empresa possui políticas e procedimentos relacionados à sua participação em licitações e à celebração de contratos administrativos que: determinam a transparência e disponibilização, em sua página eletrônica, de informações sobre sua participação em licitações e celebração de contratos administrat</t>
  </si>
  <si>
    <t xml:space="preserve">Em relação à gestão e à execução do contrato administrativo, a empresa, na condição de contratada, possui políticas e procedimentos que: definem os responsáveis pela interação com os agentes públicos para tratar de questões relacionadas à gestão do contrato, como pagamento, alterações contratuais, a</t>
  </si>
  <si>
    <t xml:space="preserve">No período avaliado, a empresa realizou treinamentos: direcionados a públicos específicos, abordando conteúdo alinhado aos principais riscos daqueles públicos, como políticas de doação e patrocínio, política de licitação e contratos administrativos, controles contábeis e financeiros, realização de d</t>
  </si>
  <si>
    <t xml:space="preserve">Em relação à realização de diligências para contratação e supervisão de terceiros, a empresa possui políticas e procedimentos que: determinam a verificação de existência de pessoas expostas politicamente, bem como de seus familiares, estreitos colaboradores e pessoas jurídicas de que participem, na </t>
  </si>
  <si>
    <t xml:space="preserve">Em relação à realização de diligências para contratação e supervisão de terceiros, a empresa possui políticas e procedimentos que: preveem a realização de diligências aprofundadas de integridade em relação aos terceiros para celebração de parcerias, como consórcios, associações, joint ventures e soc</t>
  </si>
  <si>
    <t xml:space="preserve">Em relação à realização de diligências para contratação e supervisão de terceiros, a empresa possui políticas e procedimentos que: estabelecem a necessidade de adoção de medidas para minimizar o risco da contratação de terceiro, caso o resultado das diligências realizadas indique alto risco de integ</t>
  </si>
  <si>
    <t xml:space="preserve">A empresa possui políticas e procedimentos específicos para a realização de fusões, aquisições ou outras operações societárias que: preveem a realização de diligências para verificar histórico de prática de atos de corrupção e fraude dos sócios e dos principais executivos das empresas envolvidas nas</t>
  </si>
  <si>
    <t xml:space="preserve">A empresa possui políticas e procedimentos específicos para a realização de fusões, aquisições ou outras operações societárias que: definem previamente as medidas a serem adotadas caso o resultado das diligências indique a presença de histórico de prática de atos de corrupção e fraude pela empresa e</t>
  </si>
  <si>
    <t xml:space="preserve">|XII|</t>
  </si>
  <si>
    <t xml:space="preserve">A empresa possui políticas e procedimentos que: definem os procedimentos necessários para encaminhamento de denúncias envolvendo violação de direitos humanos às autoridades responsáveis pelas ações de acolhimento e proteção das vítimas e de persecução e responsabilização dos envolvidos nesta prática</t>
  </si>
  <si>
    <t xml:space="preserve">A empresa disponibiliza em seu site institucional, em português, informações completas e atualizadas sobre: a estrutura da equipe que compõe a instância interna responsável pelo programa de integridade, incluindo organograma de reporte bem definido, bem como cargo, atribuições e responsabilidades do</t>
  </si>
  <si>
    <t xml:space="preserve">Legislação, guias, regras e fontes que sustentam o portal</t>
  </si>
  <si>
    <t xml:space="preserve">Fonte: catálogo normativo do portal (LG.cat) e notas de aplicação. Norma vincula; guia e documento operacional orientam, não são lei. Confira sempre o texto oficial vigente.</t>
  </si>
  <si>
    <t xml:space="preserve">Instrumento</t>
  </si>
  <si>
    <t xml:space="preserve">O que é</t>
  </si>
  <si>
    <t xml:space="preserve">Como o portal usa</t>
  </si>
  <si>
    <t xml:space="preserve">Link</t>
  </si>
  <si>
    <t xml:space="preserve">Portaria Normativa CGU nº 160/2024</t>
  </si>
  <si>
    <t xml:space="preserve">NORMA</t>
  </si>
  <si>
    <t xml:space="preserve">Institui o Pacto Brasil.</t>
  </si>
  <si>
    <t xml:space="preserve">Base da trilha II e dos itens AD10/AD11</t>
  </si>
  <si>
    <t xml:space="preserve">https://www.gov.br/cgu/pt-br/assuntos/integridade-privada/pacto-brasil/arquivos/documentos-constitutivos</t>
  </si>
  <si>
    <t xml:space="preserve">Instrução Normativa CGU nº 39/2024</t>
  </si>
  <si>
    <t xml:space="preserve">Regulamento do Pacto Brasil, adesão e autoavaliação.</t>
  </si>
  <si>
    <t xml:space="preserve">Regras de adesão e autoavaliação — separadas do Pró-Ética no Pacote final</t>
  </si>
  <si>
    <t xml:space="preserve">Portaria Normativa CGU nº 247/2026</t>
  </si>
  <si>
    <t xml:space="preserve">Ato listado no repositório constitutivo atualizado em agosto de 2026; consultar texto integral para alcance e alterações.</t>
  </si>
  <si>
    <t xml:space="preserve">Verificar alterações antes de parametrizar (pendente de leitura do texto integral)</t>
  </si>
  <si>
    <t xml:space="preserve">Guia de Autoavaliação do Pacto Brasil</t>
  </si>
  <si>
    <t xml:space="preserve">GUIA</t>
  </si>
  <si>
    <t xml:space="preserve">Documento metodológico, não lei; questões e orientações.</t>
  </si>
  <si>
    <t xml:space="preserve">Referência metodológica da trilha II (correlação interna)</t>
  </si>
  <si>
    <t xml:space="preserve">https://www.gov.br/cgu/pt-br/assuntos/integridade-privada/pacto-brasil/guia-de-autoavaliacao-pacto-brasil.pdf</t>
  </si>
  <si>
    <t xml:space="preserve">Página oficial e adesão ao Pacto Brasil</t>
  </si>
  <si>
    <t xml:space="preserve">Regulamento, termo de adesão, instruções e acesso à autoavaliação.</t>
  </si>
  <si>
    <t xml:space="preserve">Link de adesão exibido no Pacote final</t>
  </si>
  <si>
    <t xml:space="preserve">https://www.gov.br/cgu/pt-br/assuntos/integridade-privada/pacto-brasil</t>
  </si>
  <si>
    <t xml:space="preserve">Portaria Normativa CGU nº 203/2025</t>
  </si>
  <si>
    <t xml:space="preserve">Institui o Programa Empresa Pró-Ética.</t>
  </si>
  <si>
    <t xml:space="preserve">Base das trilhas III e da admissibilidade</t>
  </si>
  <si>
    <t xml:space="preserve">https://www.gov.br/cgu/pt-br/assuntos/integridade-privada/avaliacao-e-promocao-da-integridade-privada/empresa-pro-etica/documentos</t>
  </si>
  <si>
    <t xml:space="preserve">Instrução Normativa CGU nº 46/2025</t>
  </si>
  <si>
    <t xml:space="preserve">Regulamento da edição Pró-Ética 2025–2026.</t>
  </si>
  <si>
    <t xml:space="preserve">Admissibilidade (AD1–AD19), pontuação por área e critérios ampliados</t>
  </si>
  <si>
    <t xml:space="preserve">Documento Orientativo — Geral</t>
  </si>
  <si>
    <t xml:space="preserve">DOCUMENTO OPERACIONAL</t>
  </si>
  <si>
    <t xml:space="preserve">Formulários de Perfil e Conformidade e comprovação de respostas de empresas em geral.</t>
  </si>
  <si>
    <t xml:space="preserve">Enunciados e evidências das 108 + 223 perguntas</t>
  </si>
  <si>
    <t xml:space="preserve">Documento Orientativo — Estatais</t>
  </si>
  <si>
    <t xml:space="preserve">Orientações específicas para empresas estatais.</t>
  </si>
  <si>
    <t xml:space="preserve">Fora do escopo atual (empresas em geral); usar se a PME for estatal</t>
  </si>
  <si>
    <t xml:space="preserve">Manual de Aplicação — Pró-Ética 2025–2026</t>
  </si>
  <si>
    <t xml:space="preserve">Material metodológico da edição.</t>
  </si>
  <si>
    <t xml:space="preserve">Critérios de revisão dos agentes</t>
  </si>
  <si>
    <t xml:space="preserve">Pontuação e Regras de Redistribuição</t>
  </si>
  <si>
    <t xml:space="preserve">Pontuação das questões e redistribuição de pontos de questões não aplicáveis.</t>
  </si>
  <si>
    <t xml:space="preserve">Pesos nominais; a redistribuição oficial não é simulada no portal</t>
  </si>
  <si>
    <t xml:space="preserve">Manual SAMPI</t>
  </si>
  <si>
    <t xml:space="preserve">Operação do sistema e etapas de inscrição e avaliação.</t>
  </si>
  <si>
    <t xml:space="preserve">Transcrição final das respostas (fora do portal)</t>
  </si>
  <si>
    <t xml:space="preserve">Perguntas frequentes e demais documentos</t>
  </si>
  <si>
    <t xml:space="preserve">Consultar a página oficial do programa e a coleção da edição.</t>
  </si>
  <si>
    <t xml:space="preserve">Dúvidas de interpretação</t>
  </si>
  <si>
    <t xml:space="preserve">Sistema SAMPI</t>
  </si>
  <si>
    <t xml:space="preserve">SISTEMA</t>
  </si>
  <si>
    <t xml:space="preserve">Ambiente de inscrição e avaliação da CGU.</t>
  </si>
  <si>
    <t xml:space="preserve">Ambiente oficial — o portal não envia dados a ele</t>
  </si>
  <si>
    <t xml:space="preserve">https://sampi.cgu.gov.br/signin</t>
  </si>
  <si>
    <t xml:space="preserve">Legislação federal</t>
  </si>
  <si>
    <t xml:space="preserve">Lei nº 12.846/2013 — Lei Anticorrupção</t>
  </si>
  <si>
    <t xml:space="preserve">Responsabilização administrativa e civil de pessoas jurídicas por atos contra a administração pública.</t>
  </si>
  <si>
    <t xml:space="preserve">Atos lesivos (art. 5º), PAR, CNEP/CEIS (arts. 22–23), leniência (arts. 16–17) — itens AD5, AD7, AD12–AD14</t>
  </si>
  <si>
    <t xml:space="preserve">https://www.planalto.gov.br/ccivil_03/_ato2011-2014/2013/lei/l12846.htm</t>
  </si>
  <si>
    <t xml:space="preserve">Decreto nº 11.129/2022</t>
  </si>
  <si>
    <t xml:space="preserve">Regulamenta a Lei nº 12.846/2013 e contém parâmetros de avaliação de programas de integridade.</t>
  </si>
  <si>
    <t xml:space="preserve">Art. 57 (15 parâmetros) mapeado a cada pergunta; art. 23, V (redução de até 5% da multa)</t>
  </si>
  <si>
    <t xml:space="preserve">https://www.planalto.gov.br/ccivil_03/_ato2019-2022/2022/decreto/d11129.htm</t>
  </si>
  <si>
    <t xml:space="preserve">Lei nº 14.133/2021 — Licitações</t>
  </si>
  <si>
    <t xml:space="preserve">Ver arts. 25, § 4º; 60, IV; e 163, parágrafo único.</t>
  </si>
  <si>
    <t xml:space="preserve">Relevância em licitações (trilha 10.x e perguntas de interação com o setor público)</t>
  </si>
  <si>
    <t xml:space="preserve">https://www.planalto.gov.br/ccivil_03/_ato2019-2022/2021/lei/l14133.htm</t>
  </si>
  <si>
    <t xml:space="preserve">Decreto nº 12.304/2024</t>
  </si>
  <si>
    <t xml:space="preserve">Parâmetros e avaliação de programas de integridade em hipóteses previstas na Lei nº 14.133/2021, no âmbito definido pelo decreto.</t>
  </si>
  <si>
    <t xml:space="preserve">Avaliação de programas em contratações públicas</t>
  </si>
  <si>
    <t xml:space="preserve">https://www.planalto.gov.br/ccivil_03/_ato2023-2026/2024/decreto/d12304.htm</t>
  </si>
  <si>
    <t xml:space="preserve">Portaria Normativa CGU nº 226/2025</t>
  </si>
  <si>
    <t xml:space="preserve">Procedimentos e metodologia de avaliação dos programas de integridade de que trata o Decreto nº 12.304/2024.</t>
  </si>
  <si>
    <t xml:space="preserve">Metodologia de avaliação em licitações</t>
  </si>
  <si>
    <t xml:space="preserve">https://www.gov.br/cgu/pt-br/assuntos/integridade-privada/materiaisdeorientacao/normativos</t>
  </si>
  <si>
    <t xml:space="preserve">Diretrizes e doutrina CGU</t>
  </si>
  <si>
    <t xml:space="preserve">Programa de Integridade: Diretrizes para Empresas Privadas — Volume II (2024)</t>
  </si>
  <si>
    <t xml:space="preserve">Documento orientativo, não vinculante, publicado pela CGU em 15/10/2024, que atualiza e complementa o Volume I (2015); amplia o conceito de Programa de Integridade para incluir cultura organizacional, governança corporativa e práticas ESG (riscos ambientais, sociais e de governança, incluindo mudanças climáticas).</t>
  </si>
  <si>
    <t xml:space="preserve">Referência doutrinária de apoio às questões de governança, cultura de integridade e ESG (ex.: EA13, PI14–PI17, PI20 do Formulário; ISO-02, ISO-10, ISO-23); não altera nem substitui as normas do Decreto nº 11.129/2022, da Lei nº 12.846/2013 ou dos atos do Pró-Ética/Pacto Brasil — sem conflito normativo identificado com o restante do catálogo.</t>
  </si>
  <si>
    <t xml:space="preserve">https://www.gov.br/cgu/pt-br/assuntos/integridade-privada/materiaisdeorientacao/manuais/programa-de-integridade-diretrizes-para-empresas-privadas-vol-ii-2024.pdf</t>
  </si>
  <si>
    <t xml:space="preserve">Normas ISO citadas no portal</t>
  </si>
  <si>
    <t xml:space="preserve">ISO 37301:2021</t>
  </si>
  <si>
    <t xml:space="preserve">NORMA TÉCNICA (privada)</t>
  </si>
  <si>
    <t xml:space="preserve">Sistemas de gestão de compliance — base das questões ISO (cláusulas 4–10).</t>
  </si>
  <si>
    <t xml:space="preserve">Texto integral é pago; a planilha usa só o que o portal registra</t>
  </si>
  <si>
    <t xml:space="preserve">Sistemas de gestão antissuborno — base das questões ISO (cláusulas 4–10).</t>
  </si>
  <si>
    <t xml:space="preserve">ISO 37002:2021</t>
  </si>
  <si>
    <t xml:space="preserve">Gestão de denúncias — diretrizes complementares citadas no item ISO-39.</t>
  </si>
  <si>
    <t xml:space="preserve">ISO 31000</t>
  </si>
  <si>
    <t xml:space="preserve">Gestão de riscos — referência da matriz de risco e do simulador.</t>
  </si>
  <si>
    <t xml:space="preserve">Decreto 11.129/2022</t>
  </si>
  <si>
    <t xml:space="preserve">Art. 57 — 15 parâmetros do programa de integridade</t>
  </si>
  <si>
    <t xml:space="preserve">MATRIZ</t>
  </si>
  <si>
    <t xml:space="preserve">Ver aba LEG_ART57</t>
  </si>
  <si>
    <t xml:space="preserve">Liga cada pergunta de Conformidade a um parâmetro legal</t>
  </si>
  <si>
    <t xml:space="preserve">Notas de aplicação do portal</t>
  </si>
  <si>
    <t xml:space="preserve">Separar requisitos de adesão e autoavaliação do Pacto Brasil dos critérios de inscrição, a…</t>
  </si>
  <si>
    <t xml:space="preserve">NOTA</t>
  </si>
  <si>
    <t xml:space="preserve">Separar requisitos de adesão e autoavaliação do Pacto Brasil dos critérios de inscrição, admissibilidade, pontuação e reconhecimento do Pró-Ética.</t>
  </si>
  <si>
    <t xml:space="preserve">Manter o texto normativo distinto de guias, manuais, formulários e regras de sistema; docu…</t>
  </si>
  <si>
    <t xml:space="preserve">Manter o texto normativo distinto de guias, manuais, formulários e regras de sistema; documentos operacionais não são leis.</t>
  </si>
  <si>
    <t xml:space="preserve">O critério de desempate do art. 60, IV, da Lei nº 14.133/2021 não exige, por si só, o Selo…</t>
  </si>
  <si>
    <t xml:space="preserve">O critério de desempate do art. 60, IV, da Lei nº 14.133/2021 não exige, por si só, o Selo Pró-Ética.</t>
  </si>
  <si>
    <t xml:space="preserve">Antes de parametrizar controles e pontuações, conferir eventuais alterações, retificações …</t>
  </si>
  <si>
    <t xml:space="preserve">Antes de parametrizar controles e pontuações, conferir eventuais alterações, retificações e nova edição dos documentos oficiais.</t>
  </si>
  <si>
    <t xml:space="preserve">Revalidação de 28/09/2026: confirmada a manutenção dos 19 instrumentos já catalogados; ref…</t>
  </si>
  <si>
    <t xml:space="preserve">Revalidação de 28/09/2026: confirmada a manutenção dos 19 instrumentos já catalogados; refinada a referência ao manual 'Diretrizes para Empresas Privadas — Volume II (2024)' com data de publicação, escopo doutrinário (governança, cultura, ESG) e cruzamento explícito com EA13, PI14–PI17, PI20, ISO-02, ISO-10 e ISO-23, sem conflito normativo com o Decreto 11.129/2022, a Lei 12.846/2013 ou os atos do Pró-Ética/Pacto Brasil. Verificada a amarração entre as etapas Perfil → Essenciais → Pacto Brasil pela Integridade Empresarial → Pró-Ética → ISO 37301/37001: nenhuma referência cruzada quebrada (docs/xp/xq/pg/qpe) foi encontrada — cada etapa reaproveita corretamente a evidência da etapa anterior.</t>
  </si>
</sst>
</file>

<file path=xl/styles.xml><?xml version="1.0" encoding="utf-8"?>
<styleSheet xmlns="http://schemas.openxmlformats.org/spreadsheetml/2006/main">
  <numFmts count="8">
    <numFmt numFmtId="164" formatCode="General"/>
    <numFmt numFmtId="165" formatCode="0.00"/>
    <numFmt numFmtId="166" formatCode="0"/>
    <numFmt numFmtId="167" formatCode="0%"/>
    <numFmt numFmtId="168" formatCode="0.0"/>
    <numFmt numFmtId="169" formatCode="dd/mm/yyyy"/>
    <numFmt numFmtId="170" formatCode="#,##0.00"/>
    <numFmt numFmtId="171"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0A5C58"/>
      <name val="Arial"/>
      <family val="0"/>
      <charset val="1"/>
    </font>
    <font>
      <i val="true"/>
      <sz val="9"/>
      <color rgb="FF555555"/>
      <name val="Arial"/>
      <family val="0"/>
      <charset val="1"/>
    </font>
    <font>
      <b val="true"/>
      <sz val="10"/>
      <color rgb="FFFFFFFF"/>
      <name val="Arial"/>
      <family val="0"/>
      <charset val="1"/>
    </font>
    <font>
      <u val="single"/>
      <sz val="10"/>
      <color rgb="FF0563C1"/>
      <name val="Arial"/>
      <family val="0"/>
      <charset val="1"/>
    </font>
    <font>
      <sz val="10"/>
      <name val="Arial"/>
      <family val="0"/>
      <charset val="1"/>
    </font>
    <font>
      <b val="true"/>
      <sz val="10"/>
      <name val="Arial"/>
      <family val="0"/>
      <charset val="1"/>
    </font>
    <font>
      <sz val="10"/>
      <color rgb="FF0000FF"/>
      <name val="Arial"/>
      <family val="0"/>
      <charset val="1"/>
    </font>
    <font>
      <sz val="10"/>
      <color rgb="FF008000"/>
      <name val="Arial"/>
      <family val="0"/>
      <charset val="1"/>
    </font>
  </fonts>
  <fills count="9">
    <fill>
      <patternFill patternType="none"/>
    </fill>
    <fill>
      <patternFill patternType="gray125"/>
    </fill>
    <fill>
      <patternFill patternType="solid">
        <fgColor rgb="FF0A5C58"/>
        <bgColor rgb="FF1F7A5C"/>
      </patternFill>
    </fill>
    <fill>
      <patternFill patternType="solid">
        <fgColor rgb="FFFFF9C4"/>
        <bgColor rgb="FFFFF2B3"/>
      </patternFill>
    </fill>
    <fill>
      <patternFill patternType="solid">
        <fgColor rgb="FFFFF2B3"/>
        <bgColor rgb="FFFFF9C4"/>
      </patternFill>
    </fill>
    <fill>
      <patternFill patternType="solid">
        <fgColor rgb="FFFCE4B6"/>
        <bgColor rgb="FFFFF2B3"/>
      </patternFill>
    </fill>
    <fill>
      <patternFill patternType="solid">
        <fgColor rgb="FFF4C7C3"/>
        <bgColor rgb="FFCCCCCC"/>
      </patternFill>
    </fill>
    <fill>
      <patternFill patternType="solid">
        <fgColor rgb="FFC9E7D3"/>
        <bgColor rgb="FFE3F1F0"/>
      </patternFill>
    </fill>
    <fill>
      <patternFill patternType="solid">
        <fgColor rgb="FFE3F1F0"/>
        <bgColor rgb="FFCC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8" fontId="10" fillId="3"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1" fontId="9" fillId="4" borderId="1" xfId="0" applyFont="true" applyBorder="true" applyAlignment="true" applyProtection="false">
      <alignment horizontal="center" vertical="center" textRotation="0" wrapText="true" indent="0" shrinkToFit="false"/>
      <protection locked="true" hidden="false"/>
    </xf>
    <xf numFmtId="171" fontId="9" fillId="5" borderId="1" xfId="0" applyFont="true" applyBorder="true" applyAlignment="true" applyProtection="false">
      <alignment horizontal="center" vertical="center" textRotation="0" wrapText="true" indent="0" shrinkToFit="false"/>
      <protection locked="true" hidden="false"/>
    </xf>
    <xf numFmtId="171" fontId="9" fillId="6" borderId="1" xfId="0" applyFont="true" applyBorder="true" applyAlignment="true" applyProtection="false">
      <alignment horizontal="center" vertical="center" textRotation="0" wrapText="true" indent="0" shrinkToFit="false"/>
      <protection locked="true" hidden="false"/>
    </xf>
    <xf numFmtId="171" fontId="9" fillId="7"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11" fillId="3"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7" fontId="10" fillId="3" borderId="1" xfId="0" applyFont="true" applyBorder="true" applyAlignment="true" applyProtection="false">
      <alignment horizontal="general" vertical="top" textRotation="0" wrapText="true" indent="0" shrinkToFit="false"/>
      <protection locked="true" hidden="false"/>
    </xf>
    <xf numFmtId="169" fontId="10"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A5C58"/>
          <bgColor rgb="FF000000"/>
        </patternFill>
      </fill>
    </dxf>
    <dxf>
      <fill>
        <patternFill patternType="solid">
          <bgColor rgb="FF000000"/>
        </patternFill>
      </fill>
    </dxf>
    <dxf>
      <fill>
        <patternFill patternType="solid">
          <fgColor rgb="FFFFFFFF"/>
          <bgColor rgb="FF000000"/>
        </patternFill>
      </fill>
    </dxf>
    <dxf>
      <fill>
        <patternFill patternType="solid">
          <fgColor rgb="FFFFF9C4"/>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A6200"/>
      <rgbColor rgb="FF800080"/>
      <rgbColor rgb="FF0A8A84"/>
      <rgbColor rgb="FFCCCCCC"/>
      <rgbColor rgb="FF888888"/>
      <rgbColor rgb="FF9999FF"/>
      <rgbColor rgb="FF993366"/>
      <rgbColor rgb="FFFFF9C4"/>
      <rgbColor rgb="FFE3F1F0"/>
      <rgbColor rgb="FF660066"/>
      <rgbColor rgb="FFFF8080"/>
      <rgbColor rgb="FF0563C1"/>
      <rgbColor rgb="FFFCE4B6"/>
      <rgbColor rgb="FF000080"/>
      <rgbColor rgb="FFFF00FF"/>
      <rgbColor rgb="FFFFFF00"/>
      <rgbColor rgb="FF00FFFF"/>
      <rgbColor rgb="FF800080"/>
      <rgbColor rgb="FF800000"/>
      <rgbColor rgb="FF1F7A5C"/>
      <rgbColor rgb="FF0000FF"/>
      <rgbColor rgb="FF00CCFF"/>
      <rgbColor rgb="FFCCFFFF"/>
      <rgbColor rgb="FFC9E7D3"/>
      <rgbColor rgb="FFFFF2B3"/>
      <rgbColor rgb="FF99CCFF"/>
      <rgbColor rgb="FFFF99CC"/>
      <rgbColor rgb="FFCC99FF"/>
      <rgbColor rgb="FFF4C7C3"/>
      <rgbColor rgb="FF0B5CAD"/>
      <rgbColor rgb="FF33CCCC"/>
      <rgbColor rgb="FF99CC00"/>
      <rgbColor rgb="FFFFCC00"/>
      <rgbColor rgb="FFC98A1A"/>
      <rgbColor rgb="FFFF6600"/>
      <rgbColor rgb="FF6B7C8E"/>
      <rgbColor rgb="FF969696"/>
      <rgbColor rgb="FF0A5C58"/>
      <rgbColor rgb="FF339966"/>
      <rgbColor rgb="FF003300"/>
      <rgbColor rgb="FF333300"/>
      <rgbColor rgb="FFB4432E"/>
      <rgbColor rgb="FF993366"/>
      <rgbColor rgb="FF5B4BC4"/>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Simples_GRC_Planilha_Portal.xlsx" TargetMode="External"/><Relationship Id="rId2" Type="http://schemas.openxmlformats.org/officeDocument/2006/relationships/hyperlink" Target="Simples_GRC_Planilha_Portal.xlsx" TargetMode="External"/><Relationship Id="rId3" Type="http://schemas.openxmlformats.org/officeDocument/2006/relationships/hyperlink" Target="Simples_GRC_Planilha_Portal.xlsx" TargetMode="External"/><Relationship Id="rId4" Type="http://schemas.openxmlformats.org/officeDocument/2006/relationships/hyperlink" Target="Simples_GRC_Planilha_Portal.xlsx" TargetMode="External"/><Relationship Id="rId5" Type="http://schemas.openxmlformats.org/officeDocument/2006/relationships/hyperlink" Target="Simples_GRC_Planilha_Portal.xlsx" TargetMode="External"/><Relationship Id="rId6" Type="http://schemas.openxmlformats.org/officeDocument/2006/relationships/hyperlink" Target="Simples_GRC_Planilha_Portal.xlsx" TargetMode="External"/><Relationship Id="rId7" Type="http://schemas.openxmlformats.org/officeDocument/2006/relationships/hyperlink" Target="Simples_GRC_Planilha_Portal.xlsx" TargetMode="External"/><Relationship Id="rId8" Type="http://schemas.openxmlformats.org/officeDocument/2006/relationships/hyperlink" Target="Simples_GRC_Planilha_Portal.xlsx" TargetMode="External"/><Relationship Id="rId9" Type="http://schemas.openxmlformats.org/officeDocument/2006/relationships/hyperlink" Target="Simples_GRC_Planilha_Portal.xlsx" TargetMode="External"/><Relationship Id="rId10" Type="http://schemas.openxmlformats.org/officeDocument/2006/relationships/hyperlink" Target="Simples_GRC_Planilha_Portal.xlsx" TargetMode="External"/><Relationship Id="rId11" Type="http://schemas.openxmlformats.org/officeDocument/2006/relationships/hyperlink" Target="Simples_GRC_Planilha_Portal.xlsx" TargetMode="External"/><Relationship Id="rId12" Type="http://schemas.openxmlformats.org/officeDocument/2006/relationships/hyperlink" Target="Simples_GRC_Planilha_Portal.xlsx" TargetMode="External"/><Relationship Id="rId13" Type="http://schemas.openxmlformats.org/officeDocument/2006/relationships/hyperlink" Target="Simples_GRC_Planilha_Portal.xlsx" TargetMode="External"/><Relationship Id="rId14" Type="http://schemas.openxmlformats.org/officeDocument/2006/relationships/hyperlink" Target="Simples_GRC_Planilha_Portal.xlsx" TargetMode="External"/><Relationship Id="rId15" Type="http://schemas.openxmlformats.org/officeDocument/2006/relationships/hyperlink" Target="Simples_GRC_Planilha_Portal.xlsx" TargetMode="External"/><Relationship Id="rId16" Type="http://schemas.openxmlformats.org/officeDocument/2006/relationships/hyperlink" Target="Simples_GRC_Planilha_Portal.xlsx" TargetMode="External"/><Relationship Id="rId17" Type="http://schemas.openxmlformats.org/officeDocument/2006/relationships/hyperlink" Target="Simples_GRC_Planilha_Portal.xlsx" TargetMode="External"/><Relationship Id="rId18" Type="http://schemas.openxmlformats.org/officeDocument/2006/relationships/hyperlink" Target="Simples_GRC_Planilha_Portal.xlsx" TargetMode="External"/><Relationship Id="rId19" Type="http://schemas.openxmlformats.org/officeDocument/2006/relationships/hyperlink" Target="Simples_GRC_Planilha_Portal.xlsx" TargetMode="External"/><Relationship Id="rId20" Type="http://schemas.openxmlformats.org/officeDocument/2006/relationships/hyperlink" Target="Simples_GRC_Planilha_Portal.xlsx" TargetMode="External"/><Relationship Id="rId21" Type="http://schemas.openxmlformats.org/officeDocument/2006/relationships/hyperlink" Target="Simples_GRC_Planilha_Portal.xlsx" TargetMode="External"/><Relationship Id="rId22" Type="http://schemas.openxmlformats.org/officeDocument/2006/relationships/hyperlink" Target="Simples_GRC_Planilha_Portal.xlsx" TargetMode="External"/><Relationship Id="rId23" Type="http://schemas.openxmlformats.org/officeDocument/2006/relationships/hyperlink" Target="Simples_GRC_Planilha_Portal.xlsx" TargetMode="External"/><Relationship Id="rId24" Type="http://schemas.openxmlformats.org/officeDocument/2006/relationships/hyperlink" Target="Simples_GRC_Planilha_Portal.xlsx" TargetMode="External"/><Relationship Id="rId25" Type="http://schemas.openxmlformats.org/officeDocument/2006/relationships/hyperlink" Target="Simples_GRC_Planilha_Portal.xlsx" TargetMode="External"/><Relationship Id="rId26" Type="http://schemas.openxmlformats.org/officeDocument/2006/relationships/hyperlink" Target="Simples_GRC_Planilha_Portal.xlsx" TargetMode="External"/><Relationship Id="rId27" Type="http://schemas.openxmlformats.org/officeDocument/2006/relationships/hyperlink" Target="Simples_GRC_Planilha_Portal.xlsx" TargetMode="External"/><Relationship Id="rId28" Type="http://schemas.openxmlformats.org/officeDocument/2006/relationships/hyperlink" Target="Simples_GRC_Planilha_Portal.xlsx" TargetMode="External"/><Relationship Id="rId29" Type="http://schemas.openxmlformats.org/officeDocument/2006/relationships/hyperlink" Target="Simples_GRC_Planilha_Portal.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drawing" Target="../drawings/drawing18.xml"/>
</Relationships>
</file>

<file path=xl/worksheets/_rels/sheet26.xml.rels><?xml version="1.0" encoding="UTF-8"?>
<Relationships xmlns="http://schemas.openxmlformats.org/package/2006/relationships"><Relationship Id="rId1" Type="http://schemas.openxmlformats.org/officeDocument/2006/relationships/drawing" Target="../drawings/drawing19.xml"/>
</Relationships>
</file>

<file path=xl/worksheets/_rels/sheet27.xml.rels><?xml version="1.0" encoding="UTF-8"?>
<Relationships xmlns="http://schemas.openxmlformats.org/package/2006/relationships"><Relationship Id="rId1" Type="http://schemas.openxmlformats.org/officeDocument/2006/relationships/drawing" Target="../drawings/drawing20.xml"/>
</Relationships>
</file>

<file path=xl/worksheets/_rels/sheet29.xml.rels><?xml version="1.0" encoding="UTF-8"?>
<Relationships xmlns="http://schemas.openxmlformats.org/package/2006/relationships"><Relationship Id="rId1" Type="http://schemas.openxmlformats.org/officeDocument/2006/relationships/drawing" Target="../drawings/drawing21.xml"/>
</Relationships>
</file>

<file path=xl/worksheets/_rels/sheet30.xml.rels><?xml version="1.0" encoding="UTF-8"?>
<Relationships xmlns="http://schemas.openxmlformats.org/package/2006/relationships"><Relationship Id="rId1" Type="http://schemas.openxmlformats.org/officeDocument/2006/relationships/hyperlink" Target="https://www.gov.br/cgu/pt-br/assuntos/integridade-privada/pacto-brasil/arquivos/documentos-constitutivos" TargetMode="External"/><Relationship Id="rId2" Type="http://schemas.openxmlformats.org/officeDocument/2006/relationships/hyperlink" Target="https://www.gov.br/cgu/pt-br/assuntos/integridade-privada/pacto-brasil/arquivos/documentos-constitutivos" TargetMode="External"/><Relationship Id="rId3" Type="http://schemas.openxmlformats.org/officeDocument/2006/relationships/hyperlink" Target="https://www.gov.br/cgu/pt-br/assuntos/integridade-privada/pacto-brasil/arquivos/documentos-constitutivos" TargetMode="External"/><Relationship Id="rId4" Type="http://schemas.openxmlformats.org/officeDocument/2006/relationships/hyperlink" Target="https://www.gov.br/cgu/pt-br/assuntos/integridade-privada/pacto-brasil/guia-de-autoavaliacao-pacto-brasil.pdf" TargetMode="External"/><Relationship Id="rId5" Type="http://schemas.openxmlformats.org/officeDocument/2006/relationships/hyperlink" Target="https://www.gov.br/cgu/pt-br/assuntos/integridade-privada/pacto-brasil" TargetMode="External"/><Relationship Id="rId6" Type="http://schemas.openxmlformats.org/officeDocument/2006/relationships/hyperlink" Target="https://www.gov.br/cgu/pt-br/assuntos/integridade-privada/avaliacao-e-promocao-da-integridade-privada/empresa-pro-etica/documentos" TargetMode="External"/><Relationship Id="rId7" Type="http://schemas.openxmlformats.org/officeDocument/2006/relationships/hyperlink" Target="https://www.gov.br/cgu/pt-br/assuntos/integridade-privada/avaliacao-e-promocao-da-integridade-privada/empresa-pro-etica/documentos" TargetMode="External"/><Relationship Id="rId8" Type="http://schemas.openxmlformats.org/officeDocument/2006/relationships/hyperlink" Target="https://www.gov.br/cgu/pt-br/assuntos/integridade-privada/avaliacao-e-promocao-da-integridade-privada/empresa-pro-etica/documentos" TargetMode="External"/><Relationship Id="rId9" Type="http://schemas.openxmlformats.org/officeDocument/2006/relationships/hyperlink" Target="https://www.gov.br/cgu/pt-br/assuntos/integridade-privada/avaliacao-e-promocao-da-integridade-privada/empresa-pro-etica/documentos" TargetMode="External"/><Relationship Id="rId10" Type="http://schemas.openxmlformats.org/officeDocument/2006/relationships/hyperlink" Target="https://www.gov.br/cgu/pt-br/assuntos/integridade-privada/avaliacao-e-promocao-da-integridade-privada/empresa-pro-etica/documentos" TargetMode="External"/><Relationship Id="rId11" Type="http://schemas.openxmlformats.org/officeDocument/2006/relationships/hyperlink" Target="https://www.gov.br/cgu/pt-br/assuntos/integridade-privada/avaliacao-e-promocao-da-integridade-privada/empresa-pro-etica/documentos" TargetMode="External"/><Relationship Id="rId12" Type="http://schemas.openxmlformats.org/officeDocument/2006/relationships/hyperlink" Target="https://www.gov.br/cgu/pt-br/assuntos/integridade-privada/avaliacao-e-promocao-da-integridade-privada/empresa-pro-etica/documentos" TargetMode="External"/><Relationship Id="rId13" Type="http://schemas.openxmlformats.org/officeDocument/2006/relationships/hyperlink" Target="https://www.gov.br/cgu/pt-br/assuntos/integridade-privada/avaliacao-e-promocao-da-integridade-privada/empresa-pro-etica/documentos" TargetMode="External"/><Relationship Id="rId14" Type="http://schemas.openxmlformats.org/officeDocument/2006/relationships/hyperlink" Target="https://sampi.cgu.gov.br/signin" TargetMode="External"/><Relationship Id="rId15" Type="http://schemas.openxmlformats.org/officeDocument/2006/relationships/hyperlink" Target="https://www.planalto.gov.br/ccivil_03/_ato2011-2014/2013/lei/l12846.htm" TargetMode="External"/><Relationship Id="rId16" Type="http://schemas.openxmlformats.org/officeDocument/2006/relationships/hyperlink" Target="https://www.planalto.gov.br/ccivil_03/_ato2019-2022/2022/decreto/d11129.htm" TargetMode="External"/><Relationship Id="rId17" Type="http://schemas.openxmlformats.org/officeDocument/2006/relationships/hyperlink" Target="https://www.planalto.gov.br/ccivil_03/_ato2019-2022/2021/lei/l14133.htm" TargetMode="External"/><Relationship Id="rId18" Type="http://schemas.openxmlformats.org/officeDocument/2006/relationships/hyperlink" Target="https://www.planalto.gov.br/ccivil_03/_ato2023-2026/2024/decreto/d12304.htm" TargetMode="External"/><Relationship Id="rId19" Type="http://schemas.openxmlformats.org/officeDocument/2006/relationships/hyperlink" Target="https://www.gov.br/cgu/pt-br/assuntos/integridade-privada/materiaisdeorientacao/normativos" TargetMode="External"/><Relationship Id="rId20" Type="http://schemas.openxmlformats.org/officeDocument/2006/relationships/hyperlink" Target="https://www.gov.br/cgu/pt-br/assuntos/integridade-privada/materiaisdeorientacao/manuais/programa-de-integridade-diretrizes-para-empresas-privadas-vol-ii-2024.pdf" TargetMode="External"/><Relationship Id="rId21" Type="http://schemas.openxmlformats.org/officeDocument/2006/relationships/drawing" Target="../drawings/drawing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C58"/>
    <pageSetUpPr fitToPage="false"/>
  </sheetPr>
  <dimension ref="A1:D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70"/>
    <col collapsed="false" customWidth="true" hidden="false" outlineLevel="0" max="4" min="4"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t="s">
        <v>7</v>
      </c>
      <c r="C5" s="5" t="s">
        <v>8</v>
      </c>
    </row>
    <row r="6" customFormat="false" ht="15" hidden="false" customHeight="false" outlineLevel="0" collapsed="false">
      <c r="A6" s="4" t="s">
        <v>9</v>
      </c>
      <c r="B6" s="5" t="s">
        <v>10</v>
      </c>
      <c r="C6" s="5" t="s">
        <v>11</v>
      </c>
      <c r="D6" s="5" t="n">
        <f aca="false">COUNTA(0_PERFIL_108!A5:A112)</f>
        <v>108</v>
      </c>
    </row>
    <row r="7" customFormat="false" ht="15" hidden="false" customHeight="false" outlineLevel="0" collapsed="false">
      <c r="A7" s="4" t="s">
        <v>12</v>
      </c>
      <c r="B7" s="5" t="s">
        <v>13</v>
      </c>
      <c r="C7" s="5" t="s">
        <v>14</v>
      </c>
      <c r="D7" s="5" t="n">
        <f aca="false">COUNTA(I_ESSENCIAIS_10!A5:A14)</f>
        <v>10</v>
      </c>
    </row>
    <row r="8" customFormat="false" ht="15" hidden="false" customHeight="false" outlineLevel="0" collapsed="false">
      <c r="A8" s="4" t="s">
        <v>15</v>
      </c>
      <c r="B8" s="5" t="s">
        <v>16</v>
      </c>
      <c r="C8" s="5" t="s">
        <v>17</v>
      </c>
      <c r="D8" s="5" t="n">
        <f aca="false">COUNTA(II_PACTO_80_ITENS!A5:A84)</f>
        <v>80</v>
      </c>
    </row>
    <row r="9" customFormat="false" ht="15" hidden="false" customHeight="false" outlineLevel="0" collapsed="false">
      <c r="A9" s="4" t="s">
        <v>18</v>
      </c>
      <c r="B9" s="5" t="s">
        <v>16</v>
      </c>
      <c r="C9" s="5" t="s">
        <v>19</v>
      </c>
      <c r="D9" s="5" t="n">
        <f aca="false">COUNTA(II_PACTO_COMPL_69!A5:A73)</f>
        <v>69</v>
      </c>
    </row>
    <row r="10" customFormat="false" ht="15" hidden="false" customHeight="false" outlineLevel="0" collapsed="false">
      <c r="A10" s="4" t="s">
        <v>20</v>
      </c>
      <c r="B10" s="5" t="s">
        <v>16</v>
      </c>
      <c r="C10" s="5" t="s">
        <v>21</v>
      </c>
      <c r="D10" s="5" t="n">
        <f aca="false">COUNTA(II_PACTO_QPE_76!A5:A80)</f>
        <v>76</v>
      </c>
    </row>
    <row r="11" customFormat="false" ht="15" hidden="false" customHeight="false" outlineLevel="0" collapsed="false">
      <c r="A11" s="4" t="s">
        <v>22</v>
      </c>
      <c r="B11" s="5" t="s">
        <v>23</v>
      </c>
      <c r="C11" s="5" t="s">
        <v>24</v>
      </c>
      <c r="D11" s="5" t="n">
        <f aca="false">COUNTA(III_PROETICA_137!A5:A141)</f>
        <v>137</v>
      </c>
    </row>
    <row r="12" customFormat="false" ht="15" hidden="false" customHeight="false" outlineLevel="0" collapsed="false">
      <c r="A12" s="4" t="s">
        <v>25</v>
      </c>
      <c r="B12" s="5" t="s">
        <v>23</v>
      </c>
      <c r="C12" s="5" t="s">
        <v>26</v>
      </c>
      <c r="D12" s="5" t="n">
        <f aca="false">COUNTA(III_AREAS_CGU!B5:B14)</f>
        <v>10</v>
      </c>
    </row>
    <row r="13" customFormat="false" ht="15" hidden="false" customHeight="false" outlineLevel="0" collapsed="false">
      <c r="A13" s="4" t="s">
        <v>27</v>
      </c>
      <c r="B13" s="5" t="s">
        <v>28</v>
      </c>
      <c r="C13" s="5" t="s">
        <v>29</v>
      </c>
      <c r="D13" s="5" t="n">
        <f aca="false">COUNTA(IV_ISO_COMPL_27!A5:A31)</f>
        <v>27</v>
      </c>
    </row>
    <row r="14" customFormat="false" ht="15" hidden="false" customHeight="false" outlineLevel="0" collapsed="false">
      <c r="A14" s="4" t="s">
        <v>30</v>
      </c>
      <c r="B14" s="5" t="s">
        <v>28</v>
      </c>
      <c r="C14" s="5" t="s">
        <v>31</v>
      </c>
      <c r="D14" s="5" t="n">
        <f aca="false">COUNTA(IV_ISO_REAPROV_24!A5:A28)</f>
        <v>24</v>
      </c>
    </row>
    <row r="15" customFormat="false" ht="15" hidden="false" customHeight="false" outlineLevel="0" collapsed="false">
      <c r="A15" s="4" t="s">
        <v>32</v>
      </c>
      <c r="B15" s="5" t="s">
        <v>33</v>
      </c>
      <c r="C15" s="5" t="s">
        <v>34</v>
      </c>
      <c r="D15" s="5" t="n">
        <f aca="false">COUNTA(AG_PERFIL_108!A5:A112)</f>
        <v>108</v>
      </c>
    </row>
    <row r="16" customFormat="false" ht="15" hidden="false" customHeight="false" outlineLevel="0" collapsed="false">
      <c r="A16" s="4" t="s">
        <v>35</v>
      </c>
      <c r="B16" s="5" t="s">
        <v>33</v>
      </c>
      <c r="C16" s="5" t="s">
        <v>36</v>
      </c>
      <c r="D16" s="5" t="n">
        <f aca="false">COUNTA(AG_CONFORMIDADE_223!A5:A227)</f>
        <v>223</v>
      </c>
    </row>
    <row r="17" customFormat="false" ht="15" hidden="false" customHeight="false" outlineLevel="0" collapsed="false">
      <c r="A17" s="4" t="s">
        <v>37</v>
      </c>
      <c r="B17" s="5" t="s">
        <v>33</v>
      </c>
      <c r="C17" s="5" t="s">
        <v>38</v>
      </c>
      <c r="D17" s="5" t="n">
        <f aca="false">COUNTA(AG_ISO_51!A5:A55)</f>
        <v>51</v>
      </c>
    </row>
    <row r="18" customFormat="false" ht="15" hidden="false" customHeight="false" outlineLevel="0" collapsed="false">
      <c r="A18" s="4" t="s">
        <v>39</v>
      </c>
      <c r="B18" s="5" t="s">
        <v>40</v>
      </c>
      <c r="C18" s="5" t="s">
        <v>41</v>
      </c>
      <c r="D18" s="5" t="n">
        <f aca="false">COUNTA(LIC_CHECKLIST_14133!A5:A16)</f>
        <v>12</v>
      </c>
    </row>
    <row r="19" customFormat="false" ht="15" hidden="false" customHeight="false" outlineLevel="0" collapsed="false">
      <c r="A19" s="4" t="s">
        <v>42</v>
      </c>
      <c r="B19" s="5" t="s">
        <v>40</v>
      </c>
      <c r="C19" s="5" t="s">
        <v>43</v>
      </c>
      <c r="D19" s="5" t="n">
        <f aca="false">COUNTA(LIC_PERGUNTAS!A5:A23)</f>
        <v>19</v>
      </c>
    </row>
    <row r="20" customFormat="false" ht="15" hidden="false" customHeight="false" outlineLevel="0" collapsed="false">
      <c r="A20" s="4" t="s">
        <v>44</v>
      </c>
      <c r="B20" s="5" t="s">
        <v>45</v>
      </c>
      <c r="C20" s="5" t="s">
        <v>46</v>
      </c>
      <c r="D20" s="5" t="n">
        <f aca="false">COUNTA(CONF_MATRIZ_108!A5:A112)</f>
        <v>108</v>
      </c>
    </row>
    <row r="21" customFormat="false" ht="15" hidden="false" customHeight="false" outlineLevel="0" collapsed="false">
      <c r="A21" s="4" t="s">
        <v>47</v>
      </c>
      <c r="B21" s="5" t="s">
        <v>45</v>
      </c>
      <c r="C21" s="5" t="s">
        <v>48</v>
      </c>
      <c r="D21" s="5" t="n">
        <f aca="false">COUNTA(CONF_REGRAS_42!A5:A46)</f>
        <v>42</v>
      </c>
    </row>
    <row r="22" customFormat="false" ht="15" hidden="false" customHeight="false" outlineLevel="0" collapsed="false">
      <c r="A22" s="4" t="s">
        <v>49</v>
      </c>
      <c r="B22" s="5" t="s">
        <v>45</v>
      </c>
      <c r="C22" s="5" t="s">
        <v>50</v>
      </c>
      <c r="D22" s="5" t="n">
        <f aca="false">COUNTA(CONF_DEPENDENCIAS_23!A5:A27)</f>
        <v>23</v>
      </c>
    </row>
    <row r="23" customFormat="false" ht="15" hidden="false" customHeight="false" outlineLevel="0" collapsed="false">
      <c r="A23" s="4" t="s">
        <v>51</v>
      </c>
      <c r="B23" s="5" t="s">
        <v>52</v>
      </c>
      <c r="C23" s="5" t="s">
        <v>53</v>
      </c>
    </row>
    <row r="24" customFormat="false" ht="15" hidden="false" customHeight="false" outlineLevel="0" collapsed="false">
      <c r="A24" s="4" t="s">
        <v>54</v>
      </c>
      <c r="B24" s="5" t="s">
        <v>52</v>
      </c>
      <c r="C24" s="5" t="s">
        <v>55</v>
      </c>
      <c r="D24" s="5" t="n">
        <f aca="false">COUNTA(RISCO_MATRIZ_17!A5:A21)</f>
        <v>17</v>
      </c>
    </row>
    <row r="25" customFormat="false" ht="15" hidden="false" customHeight="false" outlineLevel="0" collapsed="false">
      <c r="A25" s="4" t="s">
        <v>56</v>
      </c>
      <c r="B25" s="5" t="s">
        <v>52</v>
      </c>
      <c r="C25" s="5" t="s">
        <v>57</v>
      </c>
      <c r="D25" s="5" t="n">
        <f aca="false">COUNTA(RISCO_ESTRESSE!A5:A9)</f>
        <v>5</v>
      </c>
    </row>
    <row r="26" customFormat="false" ht="15" hidden="false" customHeight="false" outlineLevel="0" collapsed="false">
      <c r="A26" s="4" t="s">
        <v>58</v>
      </c>
      <c r="B26" s="5" t="s">
        <v>52</v>
      </c>
      <c r="C26" s="5" t="s">
        <v>59</v>
      </c>
      <c r="D26" s="5" t="n">
        <f aca="false">COUNTA(RISCO_SIMULADOR!A6:A22)</f>
        <v>17</v>
      </c>
    </row>
    <row r="27" customFormat="false" ht="15" hidden="false" customHeight="false" outlineLevel="0" collapsed="false">
      <c r="A27" s="4" t="s">
        <v>60</v>
      </c>
      <c r="B27" s="5" t="s">
        <v>52</v>
      </c>
      <c r="C27" s="5" t="s">
        <v>61</v>
      </c>
    </row>
    <row r="28" customFormat="false" ht="15" hidden="false" customHeight="false" outlineLevel="0" collapsed="false">
      <c r="A28" s="4" t="s">
        <v>62</v>
      </c>
      <c r="B28" s="5" t="s">
        <v>52</v>
      </c>
      <c r="C28" s="5" t="s">
        <v>63</v>
      </c>
    </row>
    <row r="29" customFormat="false" ht="15" hidden="false" customHeight="false" outlineLevel="0" collapsed="false">
      <c r="A29" s="4" t="s">
        <v>64</v>
      </c>
      <c r="B29" s="5" t="s">
        <v>65</v>
      </c>
      <c r="C29" s="5" t="s">
        <v>66</v>
      </c>
      <c r="D29" s="5" t="n">
        <f aca="false">COUNTA(PMO_BIBLIOTECA_25!A5:A29)</f>
        <v>25</v>
      </c>
    </row>
    <row r="30" customFormat="false" ht="15" hidden="false" customHeight="false" outlineLevel="0" collapsed="false">
      <c r="A30" s="4" t="s">
        <v>67</v>
      </c>
      <c r="B30" s="5" t="s">
        <v>65</v>
      </c>
      <c r="C30" s="5" t="s">
        <v>68</v>
      </c>
      <c r="D30" s="5" t="n">
        <f aca="false">COUNTIF(PMO_PLANO!D10:D44,"?*")</f>
        <v>25</v>
      </c>
    </row>
    <row r="31" customFormat="false" ht="15" hidden="false" customHeight="false" outlineLevel="0" collapsed="false">
      <c r="A31" s="4" t="s">
        <v>69</v>
      </c>
      <c r="B31" s="5" t="s">
        <v>65</v>
      </c>
      <c r="C31" s="5" t="s">
        <v>70</v>
      </c>
      <c r="D31" s="5" t="n">
        <f aca="false">COUNTA(PMO_COMITE!B5:B29)</f>
        <v>25</v>
      </c>
    </row>
    <row r="32" customFormat="false" ht="15" hidden="false" customHeight="false" outlineLevel="0" collapsed="false">
      <c r="A32" s="4" t="s">
        <v>71</v>
      </c>
      <c r="B32" s="5" t="s">
        <v>72</v>
      </c>
      <c r="C32" s="5" t="s">
        <v>73</v>
      </c>
      <c r="D32" s="5" t="n">
        <f aca="false">COUNTA(LEG_ART57!A22:A244)</f>
        <v>223</v>
      </c>
    </row>
    <row r="33" customFormat="false" ht="15" hidden="false" customHeight="false" outlineLevel="0" collapsed="false">
      <c r="A33" s="4" t="s">
        <v>74</v>
      </c>
      <c r="B33" s="5" t="s">
        <v>72</v>
      </c>
      <c r="C33" s="5" t="s">
        <v>75</v>
      </c>
      <c r="D33" s="5" t="n">
        <f aca="false">COUNTA(LEG_LEGISLACAO!A5:A34)</f>
        <v>30</v>
      </c>
    </row>
    <row r="35" customFormat="false" ht="15" hidden="false" customHeight="false" outlineLevel="0" collapsed="false">
      <c r="A35" s="2" t="s">
        <v>76</v>
      </c>
    </row>
    <row r="36" customFormat="false" ht="15" hidden="false" customHeight="false" outlineLevel="0" collapsed="false">
      <c r="A36" s="2" t="s">
        <v>77</v>
      </c>
    </row>
    <row r="37" customFormat="false" ht="15" hidden="false" customHeight="false" outlineLevel="0" collapsed="false">
      <c r="A37" s="2" t="s">
        <v>78</v>
      </c>
    </row>
    <row r="38" customFormat="false" ht="15" hidden="false" customHeight="false" outlineLevel="0" collapsed="false">
      <c r="A38" s="2" t="s">
        <v>79</v>
      </c>
    </row>
    <row r="39" customFormat="false" ht="15" hidden="false" customHeight="false" outlineLevel="0" collapsed="false">
      <c r="A39" s="2" t="s">
        <v>80</v>
      </c>
    </row>
  </sheetData>
  <hyperlinks>
    <hyperlink ref="A5" r:id="rId1" location="'TOTAIS'!A1" display="TOTAIS"/>
    <hyperlink ref="A6" r:id="rId2" location="'0_PERFIL_108'!A1" display="0_PERFIL_108"/>
    <hyperlink ref="A7" r:id="rId3" location="'I_ESSENCIAIS_10'!A1" display="I_ESSENCIAIS_10"/>
    <hyperlink ref="A8" r:id="rId4" location="'II_PACTO_80_ITENS'!A1" display="II_PACTO_80_ITENS"/>
    <hyperlink ref="A9" r:id="rId5" location="'II_PACTO_COMPL_69'!A1" display="II_PACTO_COMPL_69"/>
    <hyperlink ref="A10" r:id="rId6" location="'II_PACTO_QPE_76'!A1" display="II_PACTO_QPE_76"/>
    <hyperlink ref="A11" r:id="rId7" location="'III_PROETICA_137'!A1" display="III_PROETICA_137"/>
    <hyperlink ref="A12" r:id="rId8" location="'III_AREAS_CGU'!A1" display="III_AREAS_CGU"/>
    <hyperlink ref="A13" r:id="rId9" location="'IV_ISO_COMPL_27'!A1" display="IV_ISO_COMPL_27"/>
    <hyperlink ref="A14" r:id="rId10" location="'IV_ISO_REAPROV_24'!A1" display="IV_ISO_REAPROV_24"/>
    <hyperlink ref="A15" r:id="rId11" location="'AG_PERFIL_108'!A1" display="AG_PERFIL_108"/>
    <hyperlink ref="A16" r:id="rId12" location="'AG_CONFORMIDADE_223'!A1" display="AG_CONFORMIDADE_223"/>
    <hyperlink ref="A17" r:id="rId13" location="'AG_ISO_51'!A1" display="AG_ISO_51"/>
    <hyperlink ref="A18" r:id="rId14" location="'LIC_CHECKLIST_14133'!A1" display="LIC_CHECKLIST_14133"/>
    <hyperlink ref="A19" r:id="rId15" location="'LIC_PERGUNTAS'!A1" display="LIC_PERGUNTAS"/>
    <hyperlink ref="A20" r:id="rId16" location="'CONF_MATRIZ_108'!A1" display="CONF_MATRIZ_108"/>
    <hyperlink ref="A21" r:id="rId17" location="'CONF_REGRAS_42'!A1" display="CONF_REGRAS_42"/>
    <hyperlink ref="A22" r:id="rId18" location="'CONF_DEPENDENCIAS_23'!A1" display="CONF_DEPENDENCIAS_23"/>
    <hyperlink ref="A23" r:id="rId19" location="'RISCO_PARAMETROS'!A1" display="RISCO_PARAMETROS"/>
    <hyperlink ref="A24" r:id="rId20" location="'RISCO_MATRIZ_17'!A1" display="RISCO_MATRIZ_17"/>
    <hyperlink ref="A25" r:id="rId21" location="'RISCO_ESTRESSE'!A1" display="RISCO_ESTRESSE"/>
    <hyperlink ref="A26" r:id="rId22" location="'RISCO_SIMULADOR'!A1" display="RISCO_SIMULADOR"/>
    <hyperlink ref="A27" r:id="rId23" location="'RISCO_MAPA_CALOR'!A1" display="RISCO_MAPA_CALOR"/>
    <hyperlink ref="A28" r:id="rId24" location="'SIM_PROETICA'!A1" display="SIM_PROETICA"/>
    <hyperlink ref="A29" r:id="rId25" location="'PMO_BIBLIOTECA_25'!A1" display="PMO_BIBLIOTECA_25"/>
    <hyperlink ref="A30" r:id="rId26" location="'PMO_PLANO'!A1" display="PMO_PLANO"/>
    <hyperlink ref="A31" r:id="rId27" location="'PMO_COMITE'!A1" display="PMO_COMITE"/>
    <hyperlink ref="A32" r:id="rId28" location="'LEG_ART57'!A1" display="LEG_ART57"/>
    <hyperlink ref="A33" r:id="rId29" location="'LEG_LEGISLACAO'!A1" display="LEG_LEGISLACA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C58"/>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8"/>
    <col collapsed="false" customWidth="true" hidden="false" outlineLevel="0" max="4" min="3" style="0" width="16"/>
    <col collapsed="false" customWidth="true" hidden="false" outlineLevel="0" max="5" min="5" style="0" width="12"/>
    <col collapsed="false" customWidth="true" hidden="false" outlineLevel="0" max="6" min="6" style="0" width="40"/>
    <col collapsed="false" customWidth="true" hidden="false" outlineLevel="0" max="7" min="7" style="0" width="10"/>
  </cols>
  <sheetData>
    <row r="1" customFormat="false" ht="17.35" hidden="false" customHeight="false" outlineLevel="0" collapsed="false">
      <c r="A1" s="1" t="s">
        <v>81</v>
      </c>
    </row>
    <row r="2" customFormat="false" ht="15" hidden="false" customHeight="false" outlineLevel="0" collapsed="false">
      <c r="A2" s="2" t="s">
        <v>82</v>
      </c>
    </row>
    <row r="4" customFormat="false" ht="15" hidden="false" customHeight="false" outlineLevel="0" collapsed="false">
      <c r="A4" s="6" t="s">
        <v>83</v>
      </c>
      <c r="B4" s="6" t="s">
        <v>84</v>
      </c>
      <c r="C4" s="6" t="s">
        <v>85</v>
      </c>
      <c r="D4" s="6" t="s">
        <v>86</v>
      </c>
      <c r="E4" s="6" t="s">
        <v>33</v>
      </c>
      <c r="F4" s="6" t="s">
        <v>2</v>
      </c>
      <c r="G4" s="6" t="s">
        <v>87</v>
      </c>
    </row>
    <row r="5" customFormat="false" ht="15" hidden="false" customHeight="false" outlineLevel="0" collapsed="false">
      <c r="A5" s="7" t="s">
        <v>88</v>
      </c>
      <c r="B5" s="7" t="s">
        <v>89</v>
      </c>
      <c r="C5" s="7" t="n">
        <f aca="false">COUNTA(0_PERFIL_108!A5:A112)</f>
        <v>108</v>
      </c>
      <c r="D5" s="8"/>
      <c r="E5" s="7" t="n">
        <f aca="false">COUNTA(AG_PERFIL_108!A5:A112)</f>
        <v>108</v>
      </c>
      <c r="F5" s="7" t="s">
        <v>90</v>
      </c>
      <c r="G5" s="9" t="str">
        <f aca="false">IF(AND(C5=108,E5=108),"OK","REVISAR")</f>
        <v>OK</v>
      </c>
    </row>
    <row r="6" customFormat="false" ht="15" hidden="false" customHeight="false" outlineLevel="0" collapsed="false">
      <c r="A6" s="7" t="s">
        <v>91</v>
      </c>
      <c r="B6" s="7" t="s">
        <v>92</v>
      </c>
      <c r="C6" s="7" t="n">
        <f aca="false">COUNTA(I_ESSENCIAIS_10!A5:A14)</f>
        <v>10</v>
      </c>
      <c r="D6" s="8" t="n">
        <f aca="false">SUM(I_ESSENCIAIS_10!G5:G14)</f>
        <v>4.7</v>
      </c>
      <c r="E6" s="7" t="n">
        <f aca="false">COUNTIF(AG_CONFORMIDADE_223!$C$5:$C$227,"Essenciais")</f>
        <v>10</v>
      </c>
      <c r="F6" s="7" t="s">
        <v>12</v>
      </c>
      <c r="G6" s="9" t="str">
        <f aca="false">IF(AND(C6=10,E6=10),"OK","REVISAR")</f>
        <v>OK</v>
      </c>
    </row>
    <row r="7" customFormat="false" ht="15" hidden="false" customHeight="false" outlineLevel="0" collapsed="false">
      <c r="A7" s="7" t="s">
        <v>93</v>
      </c>
      <c r="B7" s="7" t="s">
        <v>94</v>
      </c>
      <c r="C7" s="7" t="n">
        <f aca="false">COUNTA(II_PACTO_QPE_76!A5:A80)</f>
        <v>76</v>
      </c>
      <c r="D7" s="8" t="n">
        <f aca="false">SUM(II_PACTO_QPE_76!G5:G80)</f>
        <v>35.5</v>
      </c>
      <c r="E7" s="7" t="n">
        <f aca="false">COUNTIF(AG_CONFORMIDADE_223!$C$5:$C$227,"Pacto Brasil")</f>
        <v>76</v>
      </c>
      <c r="F7" s="7" t="s">
        <v>20</v>
      </c>
      <c r="G7" s="9" t="str">
        <f aca="false">IF(AND(C7=76,E7=76),"OK","REVISAR")</f>
        <v>OK</v>
      </c>
    </row>
    <row r="8" customFormat="false" ht="15" hidden="false" customHeight="false" outlineLevel="0" collapsed="false">
      <c r="A8" s="7" t="s">
        <v>95</v>
      </c>
      <c r="B8" s="7" t="s">
        <v>96</v>
      </c>
      <c r="C8" s="7" t="n">
        <f aca="false">COUNTA(III_PROETICA_137!A5:A141)</f>
        <v>137</v>
      </c>
      <c r="D8" s="8" t="n">
        <f aca="false">SUM(III_PROETICA_137!G5:G141)</f>
        <v>59.8</v>
      </c>
      <c r="E8" s="7" t="n">
        <f aca="false">COUNTIF(AG_CONFORMIDADE_223!$C$5:$C$227,"Pró-Ética")</f>
        <v>137</v>
      </c>
      <c r="F8" s="7" t="s">
        <v>22</v>
      </c>
      <c r="G8" s="9" t="str">
        <f aca="false">IF(AND(C8=137,E8=137),"OK","REVISAR")</f>
        <v>OK</v>
      </c>
    </row>
    <row r="9" customFormat="false" ht="15" hidden="false" customHeight="false" outlineLevel="0" collapsed="false">
      <c r="A9" s="9" t="s">
        <v>97</v>
      </c>
      <c r="B9" s="9" t="s">
        <v>98</v>
      </c>
      <c r="C9" s="9" t="n">
        <f aca="false">SUM(C6:C8)</f>
        <v>223</v>
      </c>
      <c r="D9" s="10" t="n">
        <f aca="false">SUM(D6:D8)</f>
        <v>100</v>
      </c>
      <c r="E9" s="9" t="n">
        <f aca="false">SUM(E6:E8)</f>
        <v>223</v>
      </c>
      <c r="F9" s="9" t="s">
        <v>35</v>
      </c>
      <c r="G9" s="9" t="str">
        <f aca="false">IF(AND(C9=223,E9=223,ROUND(D9,2)=100),"OK","REVISAR")</f>
        <v>OK</v>
      </c>
    </row>
    <row r="10" customFormat="false" ht="15" hidden="false" customHeight="false" outlineLevel="0" collapsed="false">
      <c r="A10" s="7" t="s">
        <v>93</v>
      </c>
      <c r="B10" s="7" t="s">
        <v>99</v>
      </c>
      <c r="C10" s="7" t="n">
        <f aca="false">COUNTA(II_PACTO_80_ITENS!A5:A84)</f>
        <v>80</v>
      </c>
      <c r="D10" s="8"/>
      <c r="E10" s="7"/>
      <c r="F10" s="7" t="s">
        <v>15</v>
      </c>
      <c r="G10" s="9" t="str">
        <f aca="false">IF(C10=80,"OK","REVISAR")</f>
        <v>OK</v>
      </c>
    </row>
    <row r="11" customFormat="false" ht="15" hidden="false" customHeight="false" outlineLevel="0" collapsed="false">
      <c r="A11" s="7" t="s">
        <v>93</v>
      </c>
      <c r="B11" s="7" t="s">
        <v>100</v>
      </c>
      <c r="C11" s="7" t="n">
        <f aca="false">COUNTIF(II_PACTO_80_ITENS!H5:H84,"Reaproveitável*")</f>
        <v>11</v>
      </c>
      <c r="D11" s="8"/>
      <c r="E11" s="7"/>
      <c r="F11" s="7" t="s">
        <v>15</v>
      </c>
      <c r="G11" s="9" t="str">
        <f aca="false">IF(C11=11,"OK","REVISAR")</f>
        <v>OK</v>
      </c>
    </row>
    <row r="12" customFormat="false" ht="15" hidden="false" customHeight="false" outlineLevel="0" collapsed="false">
      <c r="A12" s="7" t="s">
        <v>93</v>
      </c>
      <c r="B12" s="7" t="s">
        <v>101</v>
      </c>
      <c r="C12" s="7" t="n">
        <f aca="false">COUNTA(II_PACTO_COMPL_69!A5:A73)</f>
        <v>69</v>
      </c>
      <c r="D12" s="8"/>
      <c r="E12" s="7"/>
      <c r="F12" s="7" t="s">
        <v>18</v>
      </c>
      <c r="G12" s="9" t="str">
        <f aca="false">IF(AND(C12=69,C11+C12=C10),"OK","REVISAR")</f>
        <v>OK</v>
      </c>
    </row>
    <row r="13" customFormat="false" ht="15" hidden="false" customHeight="false" outlineLevel="0" collapsed="false">
      <c r="A13" s="7" t="s">
        <v>102</v>
      </c>
      <c r="B13" s="7" t="s">
        <v>103</v>
      </c>
      <c r="C13" s="7" t="n">
        <f aca="false">COUNTA(IV_ISO_COMPL_27!A5:A31)</f>
        <v>27</v>
      </c>
      <c r="D13" s="8"/>
      <c r="E13" s="7"/>
      <c r="F13" s="7" t="s">
        <v>27</v>
      </c>
      <c r="G13" s="9" t="str">
        <f aca="false">IF(C13=27,"OK","REVISAR")</f>
        <v>OK</v>
      </c>
    </row>
    <row r="14" customFormat="false" ht="15" hidden="false" customHeight="false" outlineLevel="0" collapsed="false">
      <c r="A14" s="7" t="s">
        <v>102</v>
      </c>
      <c r="B14" s="7" t="s">
        <v>104</v>
      </c>
      <c r="C14" s="7" t="n">
        <f aca="false">COUNTA(IV_ISO_REAPROV_24!A5:A28)</f>
        <v>24</v>
      </c>
      <c r="D14" s="8"/>
      <c r="E14" s="7"/>
      <c r="F14" s="7" t="s">
        <v>30</v>
      </c>
      <c r="G14" s="9" t="str">
        <f aca="false">IF(C14=24,"OK","REVISAR")</f>
        <v>OK</v>
      </c>
    </row>
    <row r="15" customFormat="false" ht="15" hidden="false" customHeight="false" outlineLevel="0" collapsed="false">
      <c r="A15" s="9" t="s">
        <v>102</v>
      </c>
      <c r="B15" s="9" t="s">
        <v>105</v>
      </c>
      <c r="C15" s="9" t="n">
        <f aca="false">C13+C14</f>
        <v>51</v>
      </c>
      <c r="D15" s="10"/>
      <c r="E15" s="9" t="n">
        <f aca="false">COUNTA(AG_ISO_51!A5:A55)</f>
        <v>51</v>
      </c>
      <c r="F15" s="9" t="s">
        <v>37</v>
      </c>
      <c r="G15" s="9" t="str">
        <f aca="false">IF(AND(C15=51,E15=51),"OK","REVISAR")</f>
        <v>OK</v>
      </c>
    </row>
    <row r="16" customFormat="false" ht="15" hidden="false" customHeight="false" outlineLevel="0" collapsed="false">
      <c r="A16" s="7" t="s">
        <v>40</v>
      </c>
      <c r="B16" s="7" t="s">
        <v>106</v>
      </c>
      <c r="C16" s="7" t="n">
        <f aca="false">COUNTA(LIC_CHECKLIST_14133!A5:A16)</f>
        <v>12</v>
      </c>
      <c r="D16" s="8"/>
      <c r="E16" s="7"/>
      <c r="F16" s="7" t="s">
        <v>39</v>
      </c>
      <c r="G16" s="9" t="str">
        <f aca="false">IF(C16&gt;0,"OK","REVISAR")</f>
        <v>OK</v>
      </c>
    </row>
    <row r="17" customFormat="false" ht="15" hidden="false" customHeight="false" outlineLevel="0" collapsed="false">
      <c r="A17" s="7" t="s">
        <v>40</v>
      </c>
      <c r="B17" s="7" t="s">
        <v>107</v>
      </c>
      <c r="C17" s="7" t="n">
        <f aca="false">COUNTA(LIC_PERGUNTAS!A5:A23)</f>
        <v>19</v>
      </c>
      <c r="D17" s="8"/>
      <c r="E17" s="7"/>
      <c r="F17" s="7" t="s">
        <v>42</v>
      </c>
      <c r="G17" s="9" t="str">
        <f aca="false">IF(C17&gt;0,"OK","REVISAR")</f>
        <v>OK</v>
      </c>
    </row>
    <row r="18" customFormat="false" ht="15" hidden="false" customHeight="false" outlineLevel="0" collapsed="false">
      <c r="A18" s="7" t="s">
        <v>45</v>
      </c>
      <c r="B18" s="7" t="s">
        <v>108</v>
      </c>
      <c r="C18" s="7" t="n">
        <f aca="false">COUNTA(CONF_MATRIZ_108!A5:A112)</f>
        <v>108</v>
      </c>
      <c r="D18" s="8"/>
      <c r="E18" s="7" t="n">
        <f aca="false">COUNTA(CONF_MATRIZ_108!A5:A112)</f>
        <v>108</v>
      </c>
      <c r="F18" s="7" t="s">
        <v>44</v>
      </c>
      <c r="G18" s="9" t="str">
        <f aca="false">IF(C18=108,"OK","REVISAR")</f>
        <v>OK</v>
      </c>
    </row>
    <row r="19" customFormat="false" ht="23.85" hidden="false" customHeight="false" outlineLevel="0" collapsed="false">
      <c r="A19" s="7" t="s">
        <v>45</v>
      </c>
      <c r="B19" s="7" t="s">
        <v>109</v>
      </c>
      <c r="C19" s="7" t="str">
        <f aca="false">COUNTA(CONF_REGRAS_42!A5:A46)&amp;" / "&amp;COUNTA(CONF_DEPENDENCIAS_23!A5:A27)</f>
        <v>42 / 23</v>
      </c>
      <c r="D19" s="8"/>
      <c r="E19" s="7"/>
      <c r="F19" s="7" t="s">
        <v>110</v>
      </c>
      <c r="G19" s="9"/>
    </row>
    <row r="20" customFormat="false" ht="15" hidden="false" customHeight="false" outlineLevel="0" collapsed="false">
      <c r="A20" s="7" t="s">
        <v>52</v>
      </c>
      <c r="B20" s="7" t="s">
        <v>111</v>
      </c>
      <c r="C20" s="7" t="n">
        <f aca="false">COUNTA(RISCO_MATRIZ_17!A5:A21)</f>
        <v>17</v>
      </c>
      <c r="D20" s="8"/>
      <c r="E20" s="7"/>
      <c r="F20" s="7" t="s">
        <v>54</v>
      </c>
      <c r="G20" s="9" t="str">
        <f aca="false">IF(C20=17,"OK","REVISAR")</f>
        <v>OK</v>
      </c>
    </row>
    <row r="21" customFormat="false" ht="15" hidden="false" customHeight="false" outlineLevel="0" collapsed="false">
      <c r="A21" s="7" t="s">
        <v>65</v>
      </c>
      <c r="B21" s="7" t="s">
        <v>112</v>
      </c>
      <c r="C21" s="7" t="n">
        <f aca="false">COUNTA(PMO_BIBLIOTECA_25!A5:A29)</f>
        <v>25</v>
      </c>
      <c r="D21" s="8"/>
      <c r="E21" s="7"/>
      <c r="F21" s="7" t="s">
        <v>64</v>
      </c>
      <c r="G21" s="9" t="str">
        <f aca="false">IF(C21=25,"OK","REVISAR")</f>
        <v>OK</v>
      </c>
    </row>
    <row r="22" customFormat="false" ht="15" hidden="false" customHeight="false" outlineLevel="0" collapsed="false">
      <c r="A22" s="9" t="s">
        <v>33</v>
      </c>
      <c r="B22" s="9" t="s">
        <v>113</v>
      </c>
      <c r="C22" s="9"/>
      <c r="D22" s="10"/>
      <c r="E22" s="9" t="n">
        <f aca="false">E5+E9+E15+E18</f>
        <v>490</v>
      </c>
      <c r="F22" s="9" t="s">
        <v>114</v>
      </c>
      <c r="G22" s="9"/>
    </row>
    <row r="24" customFormat="false" ht="15" hidden="false" customHeight="false" outlineLevel="0" collapsed="false">
      <c r="A24" s="2"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C8E"/>
    <pageSetUpPr fitToPage="false"/>
  </sheetPr>
  <dimension ref="A1:K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70"/>
    <col collapsed="false" customWidth="true" hidden="false" outlineLevel="0" max="4" min="4" style="0" width="12"/>
    <col collapsed="false" customWidth="true" hidden="false" outlineLevel="0" max="5" min="5" style="0" width="14"/>
    <col collapsed="false" customWidth="true" hidden="false" outlineLevel="0" max="7" min="6" style="0" width="11"/>
    <col collapsed="false" customWidth="true" hidden="false" outlineLevel="0" max="8" min="8" style="0" width="60"/>
    <col collapsed="false" customWidth="true" hidden="false" outlineLevel="0" max="9" min="9" style="0" width="16"/>
    <col collapsed="false" customWidth="true" hidden="false" outlineLevel="0" max="10" min="10" style="0" width="26"/>
    <col collapsed="false" customWidth="true" hidden="false" outlineLevel="0" max="11" min="11" style="0" width="24"/>
  </cols>
  <sheetData>
    <row r="1" customFormat="false" ht="17.35" hidden="false" customHeight="false" outlineLevel="0" collapsed="false">
      <c r="A1" s="1" t="s">
        <v>116</v>
      </c>
    </row>
    <row r="2" customFormat="false" ht="15" hidden="false" customHeight="false" outlineLevel="0" collapsed="false">
      <c r="A2" s="2" t="s">
        <v>117</v>
      </c>
    </row>
    <row r="4" customFormat="false" ht="31.5" hidden="false" customHeight="true" outlineLevel="0" collapsed="false">
      <c r="A4" s="6" t="s">
        <v>118</v>
      </c>
      <c r="B4" s="6" t="s">
        <v>119</v>
      </c>
      <c r="C4" s="6" t="s">
        <v>120</v>
      </c>
      <c r="D4" s="6" t="s">
        <v>121</v>
      </c>
      <c r="E4" s="6" t="s">
        <v>122</v>
      </c>
      <c r="F4" s="6" t="s">
        <v>123</v>
      </c>
      <c r="G4" s="6" t="s">
        <v>124</v>
      </c>
      <c r="H4" s="6" t="s">
        <v>125</v>
      </c>
      <c r="I4" s="6" t="s">
        <v>126</v>
      </c>
      <c r="J4" s="6" t="s">
        <v>127</v>
      </c>
      <c r="K4" s="6" t="s">
        <v>128</v>
      </c>
    </row>
    <row r="5" customFormat="false" ht="23.85" hidden="false" customHeight="false" outlineLevel="0" collapsed="false">
      <c r="A5" s="7" t="s">
        <v>129</v>
      </c>
      <c r="B5" s="7" t="s">
        <v>130</v>
      </c>
      <c r="C5" s="7" t="s">
        <v>131</v>
      </c>
      <c r="D5" s="7" t="s">
        <v>132</v>
      </c>
      <c r="E5" s="7"/>
      <c r="F5" s="7" t="s">
        <v>133</v>
      </c>
      <c r="G5" s="7" t="s">
        <v>134</v>
      </c>
      <c r="H5" s="7" t="s">
        <v>135</v>
      </c>
      <c r="I5" s="7" t="s">
        <v>136</v>
      </c>
      <c r="J5" s="7" t="s">
        <v>137</v>
      </c>
      <c r="K5" s="7"/>
    </row>
    <row r="6" customFormat="false" ht="23.85" hidden="false" customHeight="false" outlineLevel="0" collapsed="false">
      <c r="A6" s="7" t="s">
        <v>138</v>
      </c>
      <c r="B6" s="7" t="s">
        <v>130</v>
      </c>
      <c r="C6" s="7" t="s">
        <v>139</v>
      </c>
      <c r="D6" s="7" t="s">
        <v>132</v>
      </c>
      <c r="E6" s="7"/>
      <c r="F6" s="7" t="s">
        <v>133</v>
      </c>
      <c r="G6" s="7" t="s">
        <v>134</v>
      </c>
      <c r="H6" s="7" t="s">
        <v>135</v>
      </c>
      <c r="I6" s="7" t="s">
        <v>140</v>
      </c>
      <c r="J6" s="7" t="s">
        <v>137</v>
      </c>
      <c r="K6" s="7"/>
    </row>
    <row r="7" customFormat="false" ht="23.85" hidden="false" customHeight="false" outlineLevel="0" collapsed="false">
      <c r="A7" s="7" t="s">
        <v>141</v>
      </c>
      <c r="B7" s="7" t="s">
        <v>130</v>
      </c>
      <c r="C7" s="7" t="s">
        <v>142</v>
      </c>
      <c r="D7" s="7" t="s">
        <v>143</v>
      </c>
      <c r="E7" s="7"/>
      <c r="F7" s="7" t="s">
        <v>133</v>
      </c>
      <c r="G7" s="7" t="s">
        <v>134</v>
      </c>
      <c r="H7" s="7" t="s">
        <v>135</v>
      </c>
      <c r="I7" s="7" t="s">
        <v>144</v>
      </c>
      <c r="J7" s="7" t="s">
        <v>137</v>
      </c>
      <c r="K7" s="7"/>
    </row>
    <row r="8" customFormat="false" ht="23.85" hidden="false" customHeight="false" outlineLevel="0" collapsed="false">
      <c r="A8" s="7" t="s">
        <v>145</v>
      </c>
      <c r="B8" s="7" t="s">
        <v>130</v>
      </c>
      <c r="C8" s="7" t="s">
        <v>146</v>
      </c>
      <c r="D8" s="7" t="s">
        <v>147</v>
      </c>
      <c r="E8" s="7" t="s">
        <v>141</v>
      </c>
      <c r="F8" s="7" t="s">
        <v>133</v>
      </c>
      <c r="G8" s="7" t="s">
        <v>134</v>
      </c>
      <c r="H8" s="7" t="s">
        <v>135</v>
      </c>
      <c r="I8" s="7" t="s">
        <v>148</v>
      </c>
      <c r="J8" s="7" t="s">
        <v>137</v>
      </c>
      <c r="K8" s="7"/>
    </row>
    <row r="9" customFormat="false" ht="23.85" hidden="false" customHeight="false" outlineLevel="0" collapsed="false">
      <c r="A9" s="7" t="s">
        <v>149</v>
      </c>
      <c r="B9" s="7" t="s">
        <v>130</v>
      </c>
      <c r="C9" s="7" t="s">
        <v>150</v>
      </c>
      <c r="D9" s="7" t="s">
        <v>151</v>
      </c>
      <c r="E9" s="7"/>
      <c r="F9" s="7" t="s">
        <v>133</v>
      </c>
      <c r="G9" s="7" t="s">
        <v>134</v>
      </c>
      <c r="H9" s="7" t="s">
        <v>152</v>
      </c>
      <c r="I9" s="7" t="s">
        <v>153</v>
      </c>
      <c r="J9" s="7" t="s">
        <v>154</v>
      </c>
      <c r="K9" s="7"/>
    </row>
    <row r="10" customFormat="false" ht="23.85" hidden="false" customHeight="false" outlineLevel="0" collapsed="false">
      <c r="A10" s="7" t="s">
        <v>155</v>
      </c>
      <c r="B10" s="7" t="s">
        <v>130</v>
      </c>
      <c r="C10" s="7" t="s">
        <v>156</v>
      </c>
      <c r="D10" s="7" t="s">
        <v>157</v>
      </c>
      <c r="E10" s="7"/>
      <c r="F10" s="7" t="s">
        <v>133</v>
      </c>
      <c r="G10" s="7" t="s">
        <v>134</v>
      </c>
      <c r="H10" s="7" t="s">
        <v>135</v>
      </c>
      <c r="I10" s="7" t="s">
        <v>158</v>
      </c>
      <c r="J10" s="7" t="s">
        <v>137</v>
      </c>
      <c r="K10" s="7"/>
    </row>
    <row r="11" customFormat="false" ht="23.85" hidden="false" customHeight="false" outlineLevel="0" collapsed="false">
      <c r="A11" s="7" t="s">
        <v>159</v>
      </c>
      <c r="B11" s="7" t="s">
        <v>130</v>
      </c>
      <c r="C11" s="7" t="s">
        <v>160</v>
      </c>
      <c r="D11" s="7" t="s">
        <v>132</v>
      </c>
      <c r="E11" s="7"/>
      <c r="F11" s="7" t="s">
        <v>133</v>
      </c>
      <c r="G11" s="7" t="s">
        <v>134</v>
      </c>
      <c r="H11" s="7" t="s">
        <v>161</v>
      </c>
      <c r="I11" s="7" t="s">
        <v>162</v>
      </c>
      <c r="J11" s="7" t="s">
        <v>154</v>
      </c>
      <c r="K11" s="7"/>
    </row>
    <row r="12" customFormat="false" ht="23.85" hidden="false" customHeight="false" outlineLevel="0" collapsed="false">
      <c r="A12" s="7" t="s">
        <v>163</v>
      </c>
      <c r="B12" s="7" t="s">
        <v>130</v>
      </c>
      <c r="C12" s="7" t="s">
        <v>164</v>
      </c>
      <c r="D12" s="7" t="s">
        <v>132</v>
      </c>
      <c r="E12" s="7"/>
      <c r="F12" s="7" t="s">
        <v>133</v>
      </c>
      <c r="G12" s="7" t="s">
        <v>134</v>
      </c>
      <c r="H12" s="7" t="s">
        <v>161</v>
      </c>
      <c r="I12" s="7" t="s">
        <v>165</v>
      </c>
      <c r="J12" s="7" t="s">
        <v>154</v>
      </c>
      <c r="K12" s="7"/>
    </row>
    <row r="13" customFormat="false" ht="23.85" hidden="false" customHeight="false" outlineLevel="0" collapsed="false">
      <c r="A13" s="7" t="s">
        <v>166</v>
      </c>
      <c r="B13" s="7" t="s">
        <v>130</v>
      </c>
      <c r="C13" s="7" t="s">
        <v>167</v>
      </c>
      <c r="D13" s="7" t="s">
        <v>151</v>
      </c>
      <c r="E13" s="7"/>
      <c r="F13" s="7" t="s">
        <v>133</v>
      </c>
      <c r="G13" s="7" t="s">
        <v>134</v>
      </c>
      <c r="H13" s="7" t="s">
        <v>152</v>
      </c>
      <c r="I13" s="7" t="s">
        <v>168</v>
      </c>
      <c r="J13" s="7" t="s">
        <v>154</v>
      </c>
      <c r="K13" s="7"/>
    </row>
    <row r="14" customFormat="false" ht="23.85" hidden="false" customHeight="false" outlineLevel="0" collapsed="false">
      <c r="A14" s="7" t="s">
        <v>169</v>
      </c>
      <c r="B14" s="7" t="s">
        <v>130</v>
      </c>
      <c r="C14" s="7" t="s">
        <v>170</v>
      </c>
      <c r="D14" s="7" t="s">
        <v>171</v>
      </c>
      <c r="E14" s="7"/>
      <c r="F14" s="7" t="s">
        <v>133</v>
      </c>
      <c r="G14" s="7" t="s">
        <v>134</v>
      </c>
      <c r="H14" s="7" t="s">
        <v>152</v>
      </c>
      <c r="I14" s="7" t="s">
        <v>172</v>
      </c>
      <c r="J14" s="7" t="s">
        <v>154</v>
      </c>
      <c r="K14" s="7"/>
    </row>
    <row r="15" customFormat="false" ht="23.85" hidden="false" customHeight="false" outlineLevel="0" collapsed="false">
      <c r="A15" s="7" t="s">
        <v>173</v>
      </c>
      <c r="B15" s="7" t="s">
        <v>130</v>
      </c>
      <c r="C15" s="7" t="s">
        <v>174</v>
      </c>
      <c r="D15" s="7" t="s">
        <v>151</v>
      </c>
      <c r="E15" s="7"/>
      <c r="F15" s="7" t="s">
        <v>133</v>
      </c>
      <c r="G15" s="7" t="s">
        <v>134</v>
      </c>
      <c r="H15" s="7" t="s">
        <v>152</v>
      </c>
      <c r="I15" s="7" t="s">
        <v>175</v>
      </c>
      <c r="J15" s="7" t="s">
        <v>154</v>
      </c>
      <c r="K15" s="7"/>
    </row>
    <row r="16" customFormat="false" ht="23.85" hidden="false" customHeight="false" outlineLevel="0" collapsed="false">
      <c r="A16" s="7" t="s">
        <v>176</v>
      </c>
      <c r="B16" s="7" t="s">
        <v>177</v>
      </c>
      <c r="C16" s="7" t="s">
        <v>178</v>
      </c>
      <c r="D16" s="7" t="s">
        <v>132</v>
      </c>
      <c r="E16" s="7"/>
      <c r="F16" s="7" t="s">
        <v>133</v>
      </c>
      <c r="G16" s="7" t="s">
        <v>134</v>
      </c>
      <c r="H16" s="7" t="s">
        <v>179</v>
      </c>
      <c r="I16" s="7" t="s">
        <v>180</v>
      </c>
      <c r="J16" s="7" t="s">
        <v>137</v>
      </c>
      <c r="K16" s="7" t="s">
        <v>181</v>
      </c>
    </row>
    <row r="17" customFormat="false" ht="23.85" hidden="false" customHeight="false" outlineLevel="0" collapsed="false">
      <c r="A17" s="7" t="s">
        <v>182</v>
      </c>
      <c r="B17" s="7" t="s">
        <v>177</v>
      </c>
      <c r="C17" s="7" t="s">
        <v>183</v>
      </c>
      <c r="D17" s="7" t="s">
        <v>184</v>
      </c>
      <c r="E17" s="7"/>
      <c r="F17" s="7" t="s">
        <v>133</v>
      </c>
      <c r="G17" s="7" t="s">
        <v>134</v>
      </c>
      <c r="H17" s="7" t="s">
        <v>179</v>
      </c>
      <c r="I17" s="7" t="s">
        <v>185</v>
      </c>
      <c r="J17" s="7" t="s">
        <v>137</v>
      </c>
      <c r="K17" s="7"/>
    </row>
    <row r="18" customFormat="false" ht="23.85" hidden="false" customHeight="false" outlineLevel="0" collapsed="false">
      <c r="A18" s="7" t="s">
        <v>186</v>
      </c>
      <c r="B18" s="7" t="s">
        <v>177</v>
      </c>
      <c r="C18" s="7" t="s">
        <v>187</v>
      </c>
      <c r="D18" s="7" t="s">
        <v>147</v>
      </c>
      <c r="E18" s="7"/>
      <c r="F18" s="7" t="s">
        <v>133</v>
      </c>
      <c r="G18" s="7" t="s">
        <v>134</v>
      </c>
      <c r="H18" s="7" t="s">
        <v>179</v>
      </c>
      <c r="I18" s="7" t="s">
        <v>188</v>
      </c>
      <c r="J18" s="7" t="s">
        <v>137</v>
      </c>
      <c r="K18" s="7" t="s">
        <v>181</v>
      </c>
    </row>
    <row r="19" customFormat="false" ht="23.85" hidden="false" customHeight="false" outlineLevel="0" collapsed="false">
      <c r="A19" s="7" t="s">
        <v>189</v>
      </c>
      <c r="B19" s="7" t="s">
        <v>177</v>
      </c>
      <c r="C19" s="7" t="s">
        <v>190</v>
      </c>
      <c r="D19" s="7" t="s">
        <v>132</v>
      </c>
      <c r="E19" s="7"/>
      <c r="F19" s="7" t="s">
        <v>133</v>
      </c>
      <c r="G19" s="7" t="s">
        <v>134</v>
      </c>
      <c r="H19" s="7" t="s">
        <v>179</v>
      </c>
      <c r="I19" s="7" t="s">
        <v>191</v>
      </c>
      <c r="J19" s="7" t="s">
        <v>137</v>
      </c>
      <c r="K19" s="7"/>
    </row>
    <row r="20" customFormat="false" ht="23.85" hidden="false" customHeight="false" outlineLevel="0" collapsed="false">
      <c r="A20" s="7" t="s">
        <v>192</v>
      </c>
      <c r="B20" s="7" t="s">
        <v>177</v>
      </c>
      <c r="C20" s="7" t="s">
        <v>193</v>
      </c>
      <c r="D20" s="7" t="s">
        <v>194</v>
      </c>
      <c r="E20" s="7"/>
      <c r="F20" s="7" t="s">
        <v>133</v>
      </c>
      <c r="G20" s="7" t="s">
        <v>134</v>
      </c>
      <c r="H20" s="7" t="s">
        <v>195</v>
      </c>
      <c r="I20" s="7" t="s">
        <v>196</v>
      </c>
      <c r="J20" s="7" t="s">
        <v>197</v>
      </c>
      <c r="K20" s="7" t="s">
        <v>181</v>
      </c>
    </row>
    <row r="21" customFormat="false" ht="23.85" hidden="false" customHeight="false" outlineLevel="0" collapsed="false">
      <c r="A21" s="7" t="s">
        <v>198</v>
      </c>
      <c r="B21" s="7" t="s">
        <v>177</v>
      </c>
      <c r="C21" s="7" t="s">
        <v>199</v>
      </c>
      <c r="D21" s="7" t="s">
        <v>132</v>
      </c>
      <c r="E21" s="7"/>
      <c r="F21" s="7" t="s">
        <v>133</v>
      </c>
      <c r="G21" s="7" t="s">
        <v>134</v>
      </c>
      <c r="H21" s="7" t="s">
        <v>195</v>
      </c>
      <c r="I21" s="7" t="s">
        <v>200</v>
      </c>
      <c r="J21" s="7" t="s">
        <v>197</v>
      </c>
      <c r="K21" s="7"/>
    </row>
    <row r="22" customFormat="false" ht="23.85" hidden="false" customHeight="false" outlineLevel="0" collapsed="false">
      <c r="A22" s="7" t="s">
        <v>201</v>
      </c>
      <c r="B22" s="7" t="s">
        <v>177</v>
      </c>
      <c r="C22" s="7" t="s">
        <v>202</v>
      </c>
      <c r="D22" s="7" t="s">
        <v>143</v>
      </c>
      <c r="E22" s="7"/>
      <c r="F22" s="7" t="s">
        <v>133</v>
      </c>
      <c r="G22" s="7" t="s">
        <v>134</v>
      </c>
      <c r="H22" s="7" t="s">
        <v>179</v>
      </c>
      <c r="I22" s="7" t="s">
        <v>203</v>
      </c>
      <c r="J22" s="7" t="s">
        <v>137</v>
      </c>
      <c r="K22" s="7"/>
    </row>
    <row r="23" customFormat="false" ht="23.85" hidden="false" customHeight="false" outlineLevel="0" collapsed="false">
      <c r="A23" s="7" t="s">
        <v>204</v>
      </c>
      <c r="B23" s="7" t="s">
        <v>177</v>
      </c>
      <c r="C23" s="7" t="s">
        <v>205</v>
      </c>
      <c r="D23" s="7" t="s">
        <v>147</v>
      </c>
      <c r="E23" s="7"/>
      <c r="F23" s="7" t="s">
        <v>133</v>
      </c>
      <c r="G23" s="7" t="s">
        <v>134</v>
      </c>
      <c r="H23" s="7" t="s">
        <v>152</v>
      </c>
      <c r="I23" s="7" t="s">
        <v>206</v>
      </c>
      <c r="J23" s="7" t="s">
        <v>154</v>
      </c>
      <c r="K23" s="7" t="s">
        <v>207</v>
      </c>
    </row>
    <row r="24" customFormat="false" ht="23.85" hidden="false" customHeight="false" outlineLevel="0" collapsed="false">
      <c r="A24" s="7" t="s">
        <v>208</v>
      </c>
      <c r="B24" s="7" t="s">
        <v>177</v>
      </c>
      <c r="C24" s="7" t="s">
        <v>209</v>
      </c>
      <c r="D24" s="7" t="s">
        <v>210</v>
      </c>
      <c r="E24" s="7"/>
      <c r="F24" s="7" t="s">
        <v>133</v>
      </c>
      <c r="G24" s="7" t="s">
        <v>134</v>
      </c>
      <c r="H24" s="7" t="s">
        <v>179</v>
      </c>
      <c r="I24" s="7" t="s">
        <v>211</v>
      </c>
      <c r="J24" s="7" t="s">
        <v>137</v>
      </c>
      <c r="K24" s="7"/>
    </row>
    <row r="25" customFormat="false" ht="23.85" hidden="false" customHeight="false" outlineLevel="0" collapsed="false">
      <c r="A25" s="7" t="s">
        <v>212</v>
      </c>
      <c r="B25" s="7" t="s">
        <v>177</v>
      </c>
      <c r="C25" s="7" t="s">
        <v>213</v>
      </c>
      <c r="D25" s="7" t="s">
        <v>143</v>
      </c>
      <c r="E25" s="7"/>
      <c r="F25" s="7" t="s">
        <v>133</v>
      </c>
      <c r="G25" s="7" t="s">
        <v>134</v>
      </c>
      <c r="H25" s="7" t="s">
        <v>214</v>
      </c>
      <c r="I25" s="7" t="s">
        <v>215</v>
      </c>
      <c r="J25" s="7" t="s">
        <v>154</v>
      </c>
      <c r="K25" s="7" t="s">
        <v>216</v>
      </c>
    </row>
    <row r="26" customFormat="false" ht="23.85" hidden="false" customHeight="false" outlineLevel="0" collapsed="false">
      <c r="A26" s="7" t="s">
        <v>217</v>
      </c>
      <c r="B26" s="7" t="s">
        <v>177</v>
      </c>
      <c r="C26" s="7" t="s">
        <v>218</v>
      </c>
      <c r="D26" s="7" t="s">
        <v>147</v>
      </c>
      <c r="E26" s="7" t="s">
        <v>212</v>
      </c>
      <c r="F26" s="7" t="s">
        <v>133</v>
      </c>
      <c r="G26" s="7" t="s">
        <v>134</v>
      </c>
      <c r="H26" s="7" t="s">
        <v>214</v>
      </c>
      <c r="I26" s="7" t="s">
        <v>219</v>
      </c>
      <c r="J26" s="7" t="s">
        <v>154</v>
      </c>
      <c r="K26" s="7"/>
    </row>
    <row r="27" customFormat="false" ht="23.85" hidden="false" customHeight="false" outlineLevel="0" collapsed="false">
      <c r="A27" s="7" t="s">
        <v>220</v>
      </c>
      <c r="B27" s="7" t="s">
        <v>177</v>
      </c>
      <c r="C27" s="7" t="s">
        <v>221</v>
      </c>
      <c r="D27" s="7" t="s">
        <v>147</v>
      </c>
      <c r="E27" s="7" t="s">
        <v>212</v>
      </c>
      <c r="F27" s="7" t="s">
        <v>133</v>
      </c>
      <c r="G27" s="7" t="s">
        <v>134</v>
      </c>
      <c r="H27" s="7" t="s">
        <v>214</v>
      </c>
      <c r="I27" s="7" t="s">
        <v>222</v>
      </c>
      <c r="J27" s="7" t="s">
        <v>154</v>
      </c>
      <c r="K27" s="7"/>
    </row>
    <row r="28" customFormat="false" ht="23.85" hidden="false" customHeight="false" outlineLevel="0" collapsed="false">
      <c r="A28" s="7" t="s">
        <v>223</v>
      </c>
      <c r="B28" s="7" t="s">
        <v>177</v>
      </c>
      <c r="C28" s="7" t="s">
        <v>224</v>
      </c>
      <c r="D28" s="7" t="s">
        <v>143</v>
      </c>
      <c r="E28" s="7"/>
      <c r="F28" s="7" t="s">
        <v>133</v>
      </c>
      <c r="G28" s="7" t="s">
        <v>134</v>
      </c>
      <c r="H28" s="7" t="s">
        <v>214</v>
      </c>
      <c r="I28" s="7" t="s">
        <v>225</v>
      </c>
      <c r="J28" s="7" t="s">
        <v>154</v>
      </c>
      <c r="K28" s="7"/>
    </row>
    <row r="29" customFormat="false" ht="23.85" hidden="false" customHeight="false" outlineLevel="0" collapsed="false">
      <c r="A29" s="7" t="s">
        <v>226</v>
      </c>
      <c r="B29" s="7" t="s">
        <v>177</v>
      </c>
      <c r="C29" s="7" t="s">
        <v>227</v>
      </c>
      <c r="D29" s="7" t="s">
        <v>143</v>
      </c>
      <c r="E29" s="7"/>
      <c r="F29" s="7" t="s">
        <v>133</v>
      </c>
      <c r="G29" s="7" t="s">
        <v>134</v>
      </c>
      <c r="H29" s="7" t="s">
        <v>214</v>
      </c>
      <c r="I29" s="7" t="s">
        <v>228</v>
      </c>
      <c r="J29" s="7" t="s">
        <v>154</v>
      </c>
      <c r="K29" s="7" t="s">
        <v>229</v>
      </c>
    </row>
    <row r="30" customFormat="false" ht="23.85" hidden="false" customHeight="false" outlineLevel="0" collapsed="false">
      <c r="A30" s="7" t="s">
        <v>230</v>
      </c>
      <c r="B30" s="7" t="s">
        <v>177</v>
      </c>
      <c r="C30" s="7" t="s">
        <v>231</v>
      </c>
      <c r="D30" s="7" t="s">
        <v>132</v>
      </c>
      <c r="E30" s="7" t="s">
        <v>226</v>
      </c>
      <c r="F30" s="7" t="s">
        <v>133</v>
      </c>
      <c r="G30" s="7" t="s">
        <v>134</v>
      </c>
      <c r="H30" s="7" t="s">
        <v>214</v>
      </c>
      <c r="I30" s="7" t="s">
        <v>232</v>
      </c>
      <c r="J30" s="7" t="s">
        <v>154</v>
      </c>
      <c r="K30" s="7"/>
    </row>
    <row r="31" customFormat="false" ht="23.85" hidden="false" customHeight="false" outlineLevel="0" collapsed="false">
      <c r="A31" s="7" t="s">
        <v>233</v>
      </c>
      <c r="B31" s="7" t="s">
        <v>177</v>
      </c>
      <c r="C31" s="7" t="s">
        <v>234</v>
      </c>
      <c r="D31" s="7" t="s">
        <v>147</v>
      </c>
      <c r="E31" s="7" t="s">
        <v>226</v>
      </c>
      <c r="F31" s="7" t="s">
        <v>133</v>
      </c>
      <c r="G31" s="7" t="s">
        <v>134</v>
      </c>
      <c r="H31" s="7" t="s">
        <v>214</v>
      </c>
      <c r="I31" s="7" t="s">
        <v>235</v>
      </c>
      <c r="J31" s="7" t="s">
        <v>154</v>
      </c>
      <c r="K31" s="7" t="s">
        <v>236</v>
      </c>
    </row>
    <row r="32" customFormat="false" ht="23.85" hidden="false" customHeight="false" outlineLevel="0" collapsed="false">
      <c r="A32" s="7" t="s">
        <v>237</v>
      </c>
      <c r="B32" s="7" t="s">
        <v>177</v>
      </c>
      <c r="C32" s="7" t="s">
        <v>238</v>
      </c>
      <c r="D32" s="7" t="s">
        <v>147</v>
      </c>
      <c r="E32" s="7" t="s">
        <v>226</v>
      </c>
      <c r="F32" s="7" t="s">
        <v>133</v>
      </c>
      <c r="G32" s="7" t="s">
        <v>134</v>
      </c>
      <c r="H32" s="7" t="s">
        <v>214</v>
      </c>
      <c r="I32" s="7" t="s">
        <v>239</v>
      </c>
      <c r="J32" s="7" t="s">
        <v>154</v>
      </c>
      <c r="K32" s="7"/>
    </row>
    <row r="33" customFormat="false" ht="23.85" hidden="false" customHeight="false" outlineLevel="0" collapsed="false">
      <c r="A33" s="7" t="s">
        <v>240</v>
      </c>
      <c r="B33" s="7" t="s">
        <v>177</v>
      </c>
      <c r="C33" s="7" t="s">
        <v>241</v>
      </c>
      <c r="D33" s="7" t="s">
        <v>147</v>
      </c>
      <c r="E33" s="7"/>
      <c r="F33" s="7" t="s">
        <v>133</v>
      </c>
      <c r="G33" s="7" t="s">
        <v>134</v>
      </c>
      <c r="H33" s="7" t="s">
        <v>242</v>
      </c>
      <c r="I33" s="7" t="s">
        <v>243</v>
      </c>
      <c r="J33" s="7" t="s">
        <v>154</v>
      </c>
      <c r="K33" s="7" t="s">
        <v>181</v>
      </c>
    </row>
    <row r="34" customFormat="false" ht="23.85" hidden="false" customHeight="false" outlineLevel="0" collapsed="false">
      <c r="A34" s="7" t="s">
        <v>244</v>
      </c>
      <c r="B34" s="7" t="s">
        <v>177</v>
      </c>
      <c r="C34" s="7" t="s">
        <v>245</v>
      </c>
      <c r="D34" s="7" t="s">
        <v>143</v>
      </c>
      <c r="E34" s="7"/>
      <c r="F34" s="7" t="s">
        <v>133</v>
      </c>
      <c r="G34" s="7" t="s">
        <v>134</v>
      </c>
      <c r="H34" s="7" t="s">
        <v>214</v>
      </c>
      <c r="I34" s="7" t="s">
        <v>246</v>
      </c>
      <c r="J34" s="7" t="s">
        <v>154</v>
      </c>
      <c r="K34" s="7"/>
    </row>
    <row r="35" customFormat="false" ht="23.85" hidden="false" customHeight="false" outlineLevel="0" collapsed="false">
      <c r="A35" s="7" t="s">
        <v>247</v>
      </c>
      <c r="B35" s="7" t="s">
        <v>177</v>
      </c>
      <c r="C35" s="7" t="s">
        <v>248</v>
      </c>
      <c r="D35" s="7" t="s">
        <v>147</v>
      </c>
      <c r="E35" s="7" t="s">
        <v>244</v>
      </c>
      <c r="F35" s="7" t="s">
        <v>133</v>
      </c>
      <c r="G35" s="7" t="s">
        <v>134</v>
      </c>
      <c r="H35" s="7" t="s">
        <v>214</v>
      </c>
      <c r="I35" s="7" t="s">
        <v>249</v>
      </c>
      <c r="J35" s="7" t="s">
        <v>250</v>
      </c>
      <c r="K35" s="7"/>
    </row>
    <row r="36" customFormat="false" ht="23.85" hidden="false" customHeight="false" outlineLevel="0" collapsed="false">
      <c r="A36" s="7" t="s">
        <v>251</v>
      </c>
      <c r="B36" s="7" t="s">
        <v>177</v>
      </c>
      <c r="C36" s="7" t="s">
        <v>252</v>
      </c>
      <c r="D36" s="7" t="s">
        <v>143</v>
      </c>
      <c r="E36" s="7"/>
      <c r="F36" s="7" t="s">
        <v>133</v>
      </c>
      <c r="G36" s="7" t="s">
        <v>134</v>
      </c>
      <c r="H36" s="7" t="s">
        <v>214</v>
      </c>
      <c r="I36" s="7" t="s">
        <v>253</v>
      </c>
      <c r="J36" s="7" t="s">
        <v>154</v>
      </c>
      <c r="K36" s="7"/>
    </row>
    <row r="37" customFormat="false" ht="23.85" hidden="false" customHeight="false" outlineLevel="0" collapsed="false">
      <c r="A37" s="7" t="s">
        <v>254</v>
      </c>
      <c r="B37" s="7" t="s">
        <v>177</v>
      </c>
      <c r="C37" s="7" t="s">
        <v>255</v>
      </c>
      <c r="D37" s="7" t="s">
        <v>147</v>
      </c>
      <c r="E37" s="7" t="s">
        <v>251</v>
      </c>
      <c r="F37" s="7" t="s">
        <v>133</v>
      </c>
      <c r="G37" s="7" t="s">
        <v>134</v>
      </c>
      <c r="H37" s="7" t="s">
        <v>214</v>
      </c>
      <c r="I37" s="7" t="s">
        <v>256</v>
      </c>
      <c r="J37" s="7" t="s">
        <v>154</v>
      </c>
      <c r="K37" s="7"/>
    </row>
    <row r="38" customFormat="false" ht="23.85" hidden="false" customHeight="false" outlineLevel="0" collapsed="false">
      <c r="A38" s="7" t="s">
        <v>257</v>
      </c>
      <c r="B38" s="7" t="s">
        <v>177</v>
      </c>
      <c r="C38" s="7" t="s">
        <v>258</v>
      </c>
      <c r="D38" s="7" t="s">
        <v>259</v>
      </c>
      <c r="E38" s="7"/>
      <c r="F38" s="7" t="s">
        <v>133</v>
      </c>
      <c r="G38" s="7" t="s">
        <v>134</v>
      </c>
      <c r="H38" s="7" t="s">
        <v>260</v>
      </c>
      <c r="I38" s="7" t="s">
        <v>261</v>
      </c>
      <c r="J38" s="7" t="s">
        <v>154</v>
      </c>
      <c r="K38" s="7"/>
    </row>
    <row r="39" customFormat="false" ht="23.85" hidden="false" customHeight="false" outlineLevel="0" collapsed="false">
      <c r="A39" s="7" t="s">
        <v>262</v>
      </c>
      <c r="B39" s="7" t="s">
        <v>177</v>
      </c>
      <c r="C39" s="7" t="s">
        <v>263</v>
      </c>
      <c r="D39" s="7" t="s">
        <v>259</v>
      </c>
      <c r="E39" s="7"/>
      <c r="F39" s="7" t="s">
        <v>133</v>
      </c>
      <c r="G39" s="7" t="s">
        <v>134</v>
      </c>
      <c r="H39" s="7" t="s">
        <v>260</v>
      </c>
      <c r="I39" s="7" t="s">
        <v>264</v>
      </c>
      <c r="J39" s="7" t="s">
        <v>197</v>
      </c>
      <c r="K39" s="7"/>
    </row>
    <row r="40" customFormat="false" ht="23.85" hidden="false" customHeight="false" outlineLevel="0" collapsed="false">
      <c r="A40" s="7" t="s">
        <v>265</v>
      </c>
      <c r="B40" s="7" t="s">
        <v>177</v>
      </c>
      <c r="C40" s="7" t="s">
        <v>266</v>
      </c>
      <c r="D40" s="7" t="s">
        <v>259</v>
      </c>
      <c r="E40" s="7"/>
      <c r="F40" s="7" t="s">
        <v>133</v>
      </c>
      <c r="G40" s="7" t="s">
        <v>134</v>
      </c>
      <c r="H40" s="7" t="s">
        <v>260</v>
      </c>
      <c r="I40" s="7" t="s">
        <v>267</v>
      </c>
      <c r="J40" s="7" t="s">
        <v>197</v>
      </c>
      <c r="K40" s="7"/>
    </row>
    <row r="41" customFormat="false" ht="23.85" hidden="false" customHeight="false" outlineLevel="0" collapsed="false">
      <c r="A41" s="7" t="s">
        <v>268</v>
      </c>
      <c r="B41" s="7" t="s">
        <v>177</v>
      </c>
      <c r="C41" s="7" t="s">
        <v>269</v>
      </c>
      <c r="D41" s="7" t="s">
        <v>259</v>
      </c>
      <c r="E41" s="7"/>
      <c r="F41" s="7" t="s">
        <v>133</v>
      </c>
      <c r="G41" s="7" t="s">
        <v>134</v>
      </c>
      <c r="H41" s="7" t="s">
        <v>260</v>
      </c>
      <c r="I41" s="7" t="s">
        <v>270</v>
      </c>
      <c r="J41" s="7" t="s">
        <v>197</v>
      </c>
      <c r="K41" s="7"/>
    </row>
    <row r="42" customFormat="false" ht="23.85" hidden="false" customHeight="false" outlineLevel="0" collapsed="false">
      <c r="A42" s="7" t="s">
        <v>271</v>
      </c>
      <c r="B42" s="7" t="s">
        <v>177</v>
      </c>
      <c r="C42" s="7" t="s">
        <v>272</v>
      </c>
      <c r="D42" s="7" t="s">
        <v>273</v>
      </c>
      <c r="E42" s="7"/>
      <c r="F42" s="7" t="s">
        <v>133</v>
      </c>
      <c r="G42" s="7" t="s">
        <v>134</v>
      </c>
      <c r="H42" s="7" t="s">
        <v>260</v>
      </c>
      <c r="I42" s="7" t="s">
        <v>274</v>
      </c>
      <c r="J42" s="7" t="s">
        <v>197</v>
      </c>
      <c r="K42" s="7"/>
    </row>
    <row r="43" customFormat="false" ht="23.85" hidden="false" customHeight="false" outlineLevel="0" collapsed="false">
      <c r="A43" s="7" t="s">
        <v>275</v>
      </c>
      <c r="B43" s="7" t="s">
        <v>276</v>
      </c>
      <c r="C43" s="7" t="s">
        <v>277</v>
      </c>
      <c r="D43" s="7" t="s">
        <v>143</v>
      </c>
      <c r="E43" s="7"/>
      <c r="F43" s="7" t="s">
        <v>133</v>
      </c>
      <c r="G43" s="7" t="s">
        <v>134</v>
      </c>
      <c r="H43" s="7" t="s">
        <v>152</v>
      </c>
      <c r="I43" s="7" t="s">
        <v>278</v>
      </c>
      <c r="J43" s="7" t="s">
        <v>250</v>
      </c>
      <c r="K43" s="7" t="s">
        <v>279</v>
      </c>
    </row>
    <row r="44" customFormat="false" ht="23.85" hidden="false" customHeight="false" outlineLevel="0" collapsed="false">
      <c r="A44" s="7" t="s">
        <v>280</v>
      </c>
      <c r="B44" s="7" t="s">
        <v>276</v>
      </c>
      <c r="C44" s="7" t="s">
        <v>281</v>
      </c>
      <c r="D44" s="7" t="s">
        <v>147</v>
      </c>
      <c r="E44" s="7" t="s">
        <v>275</v>
      </c>
      <c r="F44" s="7" t="s">
        <v>133</v>
      </c>
      <c r="G44" s="7" t="s">
        <v>134</v>
      </c>
      <c r="H44" s="7" t="s">
        <v>282</v>
      </c>
      <c r="I44" s="7" t="s">
        <v>283</v>
      </c>
      <c r="J44" s="7" t="s">
        <v>154</v>
      </c>
      <c r="K44" s="7"/>
    </row>
    <row r="45" customFormat="false" ht="23.85" hidden="false" customHeight="false" outlineLevel="0" collapsed="false">
      <c r="A45" s="7" t="s">
        <v>284</v>
      </c>
      <c r="B45" s="7" t="s">
        <v>276</v>
      </c>
      <c r="C45" s="7" t="s">
        <v>285</v>
      </c>
      <c r="D45" s="7" t="s">
        <v>147</v>
      </c>
      <c r="E45" s="7"/>
      <c r="F45" s="7" t="s">
        <v>133</v>
      </c>
      <c r="G45" s="7" t="s">
        <v>134</v>
      </c>
      <c r="H45" s="7" t="s">
        <v>282</v>
      </c>
      <c r="I45" s="7" t="s">
        <v>286</v>
      </c>
      <c r="J45" s="7" t="s">
        <v>154</v>
      </c>
      <c r="K45" s="7" t="s">
        <v>181</v>
      </c>
    </row>
    <row r="46" customFormat="false" ht="23.85" hidden="false" customHeight="false" outlineLevel="0" collapsed="false">
      <c r="A46" s="7" t="s">
        <v>287</v>
      </c>
      <c r="B46" s="7" t="s">
        <v>276</v>
      </c>
      <c r="C46" s="7" t="s">
        <v>288</v>
      </c>
      <c r="D46" s="7" t="s">
        <v>147</v>
      </c>
      <c r="E46" s="7"/>
      <c r="F46" s="7" t="s">
        <v>133</v>
      </c>
      <c r="G46" s="7" t="s">
        <v>134</v>
      </c>
      <c r="H46" s="7" t="s">
        <v>282</v>
      </c>
      <c r="I46" s="7" t="s">
        <v>289</v>
      </c>
      <c r="J46" s="7" t="s">
        <v>154</v>
      </c>
      <c r="K46" s="7" t="s">
        <v>290</v>
      </c>
    </row>
    <row r="47" customFormat="false" ht="23.85" hidden="false" customHeight="false" outlineLevel="0" collapsed="false">
      <c r="A47" s="7" t="s">
        <v>291</v>
      </c>
      <c r="B47" s="7" t="s">
        <v>276</v>
      </c>
      <c r="C47" s="7" t="s">
        <v>292</v>
      </c>
      <c r="D47" s="7" t="s">
        <v>147</v>
      </c>
      <c r="E47" s="7"/>
      <c r="F47" s="7" t="s">
        <v>133</v>
      </c>
      <c r="G47" s="7" t="s">
        <v>134</v>
      </c>
      <c r="H47" s="7" t="s">
        <v>293</v>
      </c>
      <c r="I47" s="7" t="s">
        <v>294</v>
      </c>
      <c r="J47" s="7" t="s">
        <v>154</v>
      </c>
      <c r="K47" s="7" t="s">
        <v>295</v>
      </c>
    </row>
    <row r="48" customFormat="false" ht="23.85" hidden="false" customHeight="false" outlineLevel="0" collapsed="false">
      <c r="A48" s="7" t="s">
        <v>296</v>
      </c>
      <c r="B48" s="7" t="s">
        <v>276</v>
      </c>
      <c r="C48" s="7" t="s">
        <v>297</v>
      </c>
      <c r="D48" s="7" t="s">
        <v>147</v>
      </c>
      <c r="E48" s="7"/>
      <c r="F48" s="7" t="s">
        <v>133</v>
      </c>
      <c r="G48" s="7" t="s">
        <v>134</v>
      </c>
      <c r="H48" s="7" t="s">
        <v>293</v>
      </c>
      <c r="I48" s="7" t="s">
        <v>298</v>
      </c>
      <c r="J48" s="7" t="s">
        <v>154</v>
      </c>
      <c r="K48" s="7" t="s">
        <v>295</v>
      </c>
    </row>
    <row r="49" customFormat="false" ht="23.85" hidden="false" customHeight="false" outlineLevel="0" collapsed="false">
      <c r="A49" s="7" t="s">
        <v>299</v>
      </c>
      <c r="B49" s="7" t="s">
        <v>276</v>
      </c>
      <c r="C49" s="7" t="s">
        <v>300</v>
      </c>
      <c r="D49" s="7" t="s">
        <v>273</v>
      </c>
      <c r="E49" s="7"/>
      <c r="F49" s="7" t="s">
        <v>133</v>
      </c>
      <c r="G49" s="7" t="s">
        <v>134</v>
      </c>
      <c r="H49" s="7" t="s">
        <v>293</v>
      </c>
      <c r="I49" s="7" t="s">
        <v>301</v>
      </c>
      <c r="J49" s="7" t="s">
        <v>197</v>
      </c>
      <c r="K49" s="7" t="s">
        <v>181</v>
      </c>
    </row>
    <row r="50" customFormat="false" ht="23.85" hidden="false" customHeight="false" outlineLevel="0" collapsed="false">
      <c r="A50" s="7" t="s">
        <v>302</v>
      </c>
      <c r="B50" s="7" t="s">
        <v>276</v>
      </c>
      <c r="C50" s="7" t="s">
        <v>303</v>
      </c>
      <c r="D50" s="7" t="s">
        <v>143</v>
      </c>
      <c r="E50" s="7"/>
      <c r="F50" s="7" t="s">
        <v>133</v>
      </c>
      <c r="G50" s="7" t="s">
        <v>134</v>
      </c>
      <c r="H50" s="7" t="s">
        <v>304</v>
      </c>
      <c r="I50" s="7" t="s">
        <v>305</v>
      </c>
      <c r="J50" s="7" t="s">
        <v>154</v>
      </c>
      <c r="K50" s="7"/>
    </row>
    <row r="51" customFormat="false" ht="23.85" hidden="false" customHeight="false" outlineLevel="0" collapsed="false">
      <c r="A51" s="7" t="s">
        <v>306</v>
      </c>
      <c r="B51" s="7" t="s">
        <v>276</v>
      </c>
      <c r="C51" s="7" t="s">
        <v>307</v>
      </c>
      <c r="D51" s="7" t="s">
        <v>147</v>
      </c>
      <c r="E51" s="7" t="s">
        <v>302</v>
      </c>
      <c r="F51" s="7" t="s">
        <v>133</v>
      </c>
      <c r="G51" s="7" t="s">
        <v>134</v>
      </c>
      <c r="H51" s="7" t="s">
        <v>304</v>
      </c>
      <c r="I51" s="7" t="s">
        <v>308</v>
      </c>
      <c r="J51" s="7" t="s">
        <v>154</v>
      </c>
      <c r="K51" s="7"/>
    </row>
    <row r="52" customFormat="false" ht="23.85" hidden="false" customHeight="false" outlineLevel="0" collapsed="false">
      <c r="A52" s="7" t="s">
        <v>309</v>
      </c>
      <c r="B52" s="7" t="s">
        <v>276</v>
      </c>
      <c r="C52" s="7" t="s">
        <v>310</v>
      </c>
      <c r="D52" s="7" t="s">
        <v>143</v>
      </c>
      <c r="E52" s="7"/>
      <c r="F52" s="7" t="s">
        <v>133</v>
      </c>
      <c r="G52" s="7" t="s">
        <v>134</v>
      </c>
      <c r="H52" s="7" t="s">
        <v>293</v>
      </c>
      <c r="I52" s="7" t="s">
        <v>311</v>
      </c>
      <c r="J52" s="7" t="s">
        <v>154</v>
      </c>
      <c r="K52" s="7"/>
    </row>
    <row r="53" customFormat="false" ht="23.85" hidden="false" customHeight="false" outlineLevel="0" collapsed="false">
      <c r="A53" s="7" t="s">
        <v>312</v>
      </c>
      <c r="B53" s="7" t="s">
        <v>276</v>
      </c>
      <c r="C53" s="7" t="s">
        <v>313</v>
      </c>
      <c r="D53" s="7" t="s">
        <v>147</v>
      </c>
      <c r="E53" s="7" t="s">
        <v>309</v>
      </c>
      <c r="F53" s="7" t="s">
        <v>133</v>
      </c>
      <c r="G53" s="7" t="s">
        <v>134</v>
      </c>
      <c r="H53" s="7" t="s">
        <v>293</v>
      </c>
      <c r="I53" s="7" t="s">
        <v>314</v>
      </c>
      <c r="J53" s="7" t="s">
        <v>250</v>
      </c>
      <c r="K53" s="7"/>
    </row>
    <row r="54" customFormat="false" ht="23.85" hidden="false" customHeight="false" outlineLevel="0" collapsed="false">
      <c r="A54" s="7" t="s">
        <v>315</v>
      </c>
      <c r="B54" s="7" t="s">
        <v>276</v>
      </c>
      <c r="C54" s="7" t="s">
        <v>316</v>
      </c>
      <c r="D54" s="7" t="s">
        <v>143</v>
      </c>
      <c r="E54" s="7"/>
      <c r="F54" s="7" t="s">
        <v>133</v>
      </c>
      <c r="G54" s="7" t="s">
        <v>134</v>
      </c>
      <c r="H54" s="7" t="s">
        <v>293</v>
      </c>
      <c r="I54" s="7" t="s">
        <v>317</v>
      </c>
      <c r="J54" s="7" t="s">
        <v>154</v>
      </c>
      <c r="K54" s="7"/>
    </row>
    <row r="55" customFormat="false" ht="23.85" hidden="false" customHeight="false" outlineLevel="0" collapsed="false">
      <c r="A55" s="7" t="s">
        <v>318</v>
      </c>
      <c r="B55" s="7" t="s">
        <v>276</v>
      </c>
      <c r="C55" s="7" t="s">
        <v>319</v>
      </c>
      <c r="D55" s="7" t="s">
        <v>273</v>
      </c>
      <c r="E55" s="7" t="s">
        <v>315</v>
      </c>
      <c r="F55" s="7" t="s">
        <v>133</v>
      </c>
      <c r="G55" s="7" t="s">
        <v>134</v>
      </c>
      <c r="H55" s="7" t="s">
        <v>293</v>
      </c>
      <c r="I55" s="7" t="s">
        <v>320</v>
      </c>
      <c r="J55" s="7" t="s">
        <v>197</v>
      </c>
      <c r="K55" s="7"/>
    </row>
    <row r="56" customFormat="false" ht="23.85" hidden="false" customHeight="false" outlineLevel="0" collapsed="false">
      <c r="A56" s="7" t="s">
        <v>321</v>
      </c>
      <c r="B56" s="7" t="s">
        <v>276</v>
      </c>
      <c r="C56" s="7" t="s">
        <v>322</v>
      </c>
      <c r="D56" s="7" t="s">
        <v>143</v>
      </c>
      <c r="E56" s="7"/>
      <c r="F56" s="7" t="s">
        <v>133</v>
      </c>
      <c r="G56" s="7" t="s">
        <v>134</v>
      </c>
      <c r="H56" s="7" t="s">
        <v>323</v>
      </c>
      <c r="I56" s="7" t="s">
        <v>324</v>
      </c>
      <c r="J56" s="7" t="s">
        <v>154</v>
      </c>
      <c r="K56" s="7"/>
    </row>
    <row r="57" customFormat="false" ht="23.85" hidden="false" customHeight="false" outlineLevel="0" collapsed="false">
      <c r="A57" s="7" t="s">
        <v>325</v>
      </c>
      <c r="B57" s="7" t="s">
        <v>276</v>
      </c>
      <c r="C57" s="7" t="s">
        <v>326</v>
      </c>
      <c r="D57" s="7" t="s">
        <v>147</v>
      </c>
      <c r="E57" s="7" t="s">
        <v>321</v>
      </c>
      <c r="F57" s="7" t="s">
        <v>133</v>
      </c>
      <c r="G57" s="7" t="s">
        <v>134</v>
      </c>
      <c r="H57" s="7" t="s">
        <v>323</v>
      </c>
      <c r="I57" s="7" t="s">
        <v>327</v>
      </c>
      <c r="J57" s="7" t="s">
        <v>154</v>
      </c>
      <c r="K57" s="7"/>
    </row>
    <row r="58" customFormat="false" ht="23.85" hidden="false" customHeight="false" outlineLevel="0" collapsed="false">
      <c r="A58" s="7" t="s">
        <v>328</v>
      </c>
      <c r="B58" s="7" t="s">
        <v>329</v>
      </c>
      <c r="C58" s="7" t="s">
        <v>330</v>
      </c>
      <c r="D58" s="7" t="s">
        <v>143</v>
      </c>
      <c r="E58" s="7"/>
      <c r="F58" s="7" t="s">
        <v>133</v>
      </c>
      <c r="G58" s="7" t="s">
        <v>134</v>
      </c>
      <c r="H58" s="7" t="s">
        <v>331</v>
      </c>
      <c r="I58" s="7" t="s">
        <v>332</v>
      </c>
      <c r="J58" s="7" t="s">
        <v>154</v>
      </c>
      <c r="K58" s="7" t="s">
        <v>333</v>
      </c>
    </row>
    <row r="59" customFormat="false" ht="23.85" hidden="false" customHeight="false" outlineLevel="0" collapsed="false">
      <c r="A59" s="7" t="s">
        <v>334</v>
      </c>
      <c r="B59" s="7" t="s">
        <v>329</v>
      </c>
      <c r="C59" s="7" t="s">
        <v>335</v>
      </c>
      <c r="D59" s="7" t="s">
        <v>143</v>
      </c>
      <c r="E59" s="7" t="s">
        <v>328</v>
      </c>
      <c r="F59" s="7" t="s">
        <v>133</v>
      </c>
      <c r="G59" s="7" t="s">
        <v>134</v>
      </c>
      <c r="H59" s="7" t="s">
        <v>331</v>
      </c>
      <c r="I59" s="7" t="s">
        <v>336</v>
      </c>
      <c r="J59" s="7" t="s">
        <v>154</v>
      </c>
      <c r="K59" s="7"/>
    </row>
    <row r="60" customFormat="false" ht="23.85" hidden="false" customHeight="false" outlineLevel="0" collapsed="false">
      <c r="A60" s="7" t="s">
        <v>337</v>
      </c>
      <c r="B60" s="7" t="s">
        <v>329</v>
      </c>
      <c r="C60" s="7" t="s">
        <v>338</v>
      </c>
      <c r="D60" s="7" t="s">
        <v>147</v>
      </c>
      <c r="E60" s="7" t="s">
        <v>328</v>
      </c>
      <c r="F60" s="7" t="s">
        <v>133</v>
      </c>
      <c r="G60" s="7" t="s">
        <v>134</v>
      </c>
      <c r="H60" s="7" t="s">
        <v>331</v>
      </c>
      <c r="I60" s="7" t="s">
        <v>339</v>
      </c>
      <c r="J60" s="7" t="s">
        <v>250</v>
      </c>
      <c r="K60" s="7"/>
    </row>
    <row r="61" customFormat="false" ht="23.85" hidden="false" customHeight="false" outlineLevel="0" collapsed="false">
      <c r="A61" s="7" t="s">
        <v>340</v>
      </c>
      <c r="B61" s="7" t="s">
        <v>329</v>
      </c>
      <c r="C61" s="7" t="s">
        <v>341</v>
      </c>
      <c r="D61" s="7" t="s">
        <v>143</v>
      </c>
      <c r="E61" s="7"/>
      <c r="F61" s="7" t="s">
        <v>133</v>
      </c>
      <c r="G61" s="7" t="s">
        <v>134</v>
      </c>
      <c r="H61" s="7" t="s">
        <v>342</v>
      </c>
      <c r="I61" s="7" t="s">
        <v>343</v>
      </c>
      <c r="J61" s="7" t="s">
        <v>154</v>
      </c>
      <c r="K61" s="7" t="s">
        <v>333</v>
      </c>
    </row>
    <row r="62" customFormat="false" ht="23.85" hidden="false" customHeight="false" outlineLevel="0" collapsed="false">
      <c r="A62" s="7" t="s">
        <v>344</v>
      </c>
      <c r="B62" s="7" t="s">
        <v>329</v>
      </c>
      <c r="C62" s="7" t="s">
        <v>345</v>
      </c>
      <c r="D62" s="7" t="s">
        <v>147</v>
      </c>
      <c r="E62" s="7" t="s">
        <v>340</v>
      </c>
      <c r="F62" s="7" t="s">
        <v>133</v>
      </c>
      <c r="G62" s="7" t="s">
        <v>134</v>
      </c>
      <c r="H62" s="7" t="s">
        <v>342</v>
      </c>
      <c r="I62" s="7" t="s">
        <v>346</v>
      </c>
      <c r="J62" s="7" t="s">
        <v>347</v>
      </c>
      <c r="K62" s="7"/>
    </row>
    <row r="63" customFormat="false" ht="23.85" hidden="false" customHeight="false" outlineLevel="0" collapsed="false">
      <c r="A63" s="7" t="s">
        <v>348</v>
      </c>
      <c r="B63" s="7" t="s">
        <v>349</v>
      </c>
      <c r="C63" s="7" t="s">
        <v>350</v>
      </c>
      <c r="D63" s="7" t="s">
        <v>259</v>
      </c>
      <c r="E63" s="7"/>
      <c r="F63" s="7" t="s">
        <v>133</v>
      </c>
      <c r="G63" s="7" t="s">
        <v>134</v>
      </c>
      <c r="H63" s="7" t="s">
        <v>351</v>
      </c>
      <c r="I63" s="7" t="s">
        <v>352</v>
      </c>
      <c r="J63" s="7" t="s">
        <v>154</v>
      </c>
      <c r="K63" s="7" t="s">
        <v>353</v>
      </c>
    </row>
    <row r="64" customFormat="false" ht="23.85" hidden="false" customHeight="false" outlineLevel="0" collapsed="false">
      <c r="A64" s="7" t="s">
        <v>354</v>
      </c>
      <c r="B64" s="7" t="s">
        <v>349</v>
      </c>
      <c r="C64" s="7" t="s">
        <v>355</v>
      </c>
      <c r="D64" s="7" t="s">
        <v>147</v>
      </c>
      <c r="E64" s="7"/>
      <c r="F64" s="7" t="s">
        <v>133</v>
      </c>
      <c r="G64" s="7" t="s">
        <v>134</v>
      </c>
      <c r="H64" s="7" t="s">
        <v>351</v>
      </c>
      <c r="I64" s="7" t="s">
        <v>356</v>
      </c>
      <c r="J64" s="7" t="s">
        <v>154</v>
      </c>
      <c r="K64" s="7" t="s">
        <v>353</v>
      </c>
    </row>
    <row r="65" customFormat="false" ht="23.85" hidden="false" customHeight="false" outlineLevel="0" collapsed="false">
      <c r="A65" s="7" t="s">
        <v>357</v>
      </c>
      <c r="B65" s="7" t="s">
        <v>349</v>
      </c>
      <c r="C65" s="7" t="s">
        <v>358</v>
      </c>
      <c r="D65" s="7" t="s">
        <v>259</v>
      </c>
      <c r="E65" s="7"/>
      <c r="F65" s="7" t="s">
        <v>133</v>
      </c>
      <c r="G65" s="7" t="s">
        <v>134</v>
      </c>
      <c r="H65" s="7" t="s">
        <v>351</v>
      </c>
      <c r="I65" s="7" t="s">
        <v>359</v>
      </c>
      <c r="J65" s="7" t="s">
        <v>197</v>
      </c>
      <c r="K65" s="7"/>
    </row>
    <row r="66" customFormat="false" ht="23.85" hidden="false" customHeight="false" outlineLevel="0" collapsed="false">
      <c r="A66" s="7" t="s">
        <v>360</v>
      </c>
      <c r="B66" s="7" t="s">
        <v>349</v>
      </c>
      <c r="C66" s="7" t="s">
        <v>361</v>
      </c>
      <c r="D66" s="7" t="s">
        <v>147</v>
      </c>
      <c r="E66" s="7"/>
      <c r="F66" s="7" t="s">
        <v>133</v>
      </c>
      <c r="G66" s="7" t="s">
        <v>134</v>
      </c>
      <c r="H66" s="7" t="s">
        <v>351</v>
      </c>
      <c r="I66" s="7" t="s">
        <v>362</v>
      </c>
      <c r="J66" s="7" t="s">
        <v>154</v>
      </c>
      <c r="K66" s="7"/>
    </row>
    <row r="67" customFormat="false" ht="23.85" hidden="false" customHeight="false" outlineLevel="0" collapsed="false">
      <c r="A67" s="7" t="s">
        <v>363</v>
      </c>
      <c r="B67" s="7" t="s">
        <v>349</v>
      </c>
      <c r="C67" s="7" t="s">
        <v>364</v>
      </c>
      <c r="D67" s="7" t="s">
        <v>147</v>
      </c>
      <c r="E67" s="7"/>
      <c r="F67" s="7" t="s">
        <v>133</v>
      </c>
      <c r="G67" s="7" t="s">
        <v>134</v>
      </c>
      <c r="H67" s="7" t="s">
        <v>365</v>
      </c>
      <c r="I67" s="7" t="s">
        <v>366</v>
      </c>
      <c r="J67" s="7" t="s">
        <v>367</v>
      </c>
      <c r="K67" s="7" t="s">
        <v>368</v>
      </c>
    </row>
    <row r="68" customFormat="false" ht="23.85" hidden="false" customHeight="false" outlineLevel="0" collapsed="false">
      <c r="A68" s="7" t="s">
        <v>369</v>
      </c>
      <c r="B68" s="7" t="s">
        <v>349</v>
      </c>
      <c r="C68" s="7" t="s">
        <v>370</v>
      </c>
      <c r="D68" s="7" t="s">
        <v>143</v>
      </c>
      <c r="E68" s="7"/>
      <c r="F68" s="7" t="s">
        <v>133</v>
      </c>
      <c r="G68" s="7" t="s">
        <v>134</v>
      </c>
      <c r="H68" s="7" t="s">
        <v>371</v>
      </c>
      <c r="I68" s="7" t="s">
        <v>372</v>
      </c>
      <c r="J68" s="7" t="s">
        <v>154</v>
      </c>
      <c r="K68" s="7"/>
    </row>
    <row r="69" customFormat="false" ht="23.85" hidden="false" customHeight="false" outlineLevel="0" collapsed="false">
      <c r="A69" s="7" t="s">
        <v>373</v>
      </c>
      <c r="B69" s="7" t="s">
        <v>349</v>
      </c>
      <c r="C69" s="7" t="s">
        <v>374</v>
      </c>
      <c r="D69" s="7" t="s">
        <v>143</v>
      </c>
      <c r="E69" s="7"/>
      <c r="F69" s="7" t="s">
        <v>133</v>
      </c>
      <c r="G69" s="7" t="s">
        <v>134</v>
      </c>
      <c r="H69" s="7" t="s">
        <v>371</v>
      </c>
      <c r="I69" s="7" t="s">
        <v>375</v>
      </c>
      <c r="J69" s="7" t="s">
        <v>154</v>
      </c>
      <c r="K69" s="7"/>
    </row>
    <row r="70" customFormat="false" ht="23.85" hidden="false" customHeight="false" outlineLevel="0" collapsed="false">
      <c r="A70" s="7" t="s">
        <v>376</v>
      </c>
      <c r="B70" s="7" t="s">
        <v>349</v>
      </c>
      <c r="C70" s="7" t="s">
        <v>377</v>
      </c>
      <c r="D70" s="7" t="s">
        <v>143</v>
      </c>
      <c r="E70" s="7"/>
      <c r="F70" s="7" t="s">
        <v>133</v>
      </c>
      <c r="G70" s="7" t="s">
        <v>134</v>
      </c>
      <c r="H70" s="7" t="s">
        <v>371</v>
      </c>
      <c r="I70" s="7" t="s">
        <v>378</v>
      </c>
      <c r="J70" s="7" t="s">
        <v>154</v>
      </c>
      <c r="K70" s="7"/>
    </row>
    <row r="71" customFormat="false" ht="23.85" hidden="false" customHeight="false" outlineLevel="0" collapsed="false">
      <c r="A71" s="7" t="s">
        <v>379</v>
      </c>
      <c r="B71" s="7" t="s">
        <v>349</v>
      </c>
      <c r="C71" s="7" t="s">
        <v>380</v>
      </c>
      <c r="D71" s="7" t="s">
        <v>143</v>
      </c>
      <c r="E71" s="7"/>
      <c r="F71" s="7" t="s">
        <v>133</v>
      </c>
      <c r="G71" s="7" t="s">
        <v>134</v>
      </c>
      <c r="H71" s="7" t="s">
        <v>381</v>
      </c>
      <c r="I71" s="7" t="s">
        <v>382</v>
      </c>
      <c r="J71" s="7" t="s">
        <v>154</v>
      </c>
      <c r="K71" s="7"/>
    </row>
    <row r="72" customFormat="false" ht="23.85" hidden="false" customHeight="false" outlineLevel="0" collapsed="false">
      <c r="A72" s="7" t="s">
        <v>383</v>
      </c>
      <c r="B72" s="7" t="s">
        <v>349</v>
      </c>
      <c r="C72" s="7" t="s">
        <v>384</v>
      </c>
      <c r="D72" s="7" t="s">
        <v>147</v>
      </c>
      <c r="E72" s="7" t="s">
        <v>379</v>
      </c>
      <c r="F72" s="7" t="s">
        <v>133</v>
      </c>
      <c r="G72" s="7" t="s">
        <v>134</v>
      </c>
      <c r="H72" s="7" t="s">
        <v>381</v>
      </c>
      <c r="I72" s="7" t="s">
        <v>385</v>
      </c>
      <c r="J72" s="7" t="s">
        <v>154</v>
      </c>
      <c r="K72" s="7"/>
    </row>
    <row r="73" customFormat="false" ht="23.85" hidden="false" customHeight="false" outlineLevel="0" collapsed="false">
      <c r="A73" s="7" t="s">
        <v>386</v>
      </c>
      <c r="B73" s="7" t="s">
        <v>349</v>
      </c>
      <c r="C73" s="7" t="s">
        <v>387</v>
      </c>
      <c r="D73" s="7" t="s">
        <v>143</v>
      </c>
      <c r="E73" s="7"/>
      <c r="F73" s="7" t="s">
        <v>133</v>
      </c>
      <c r="G73" s="7" t="s">
        <v>134</v>
      </c>
      <c r="H73" s="7" t="s">
        <v>381</v>
      </c>
      <c r="I73" s="7" t="s">
        <v>388</v>
      </c>
      <c r="J73" s="7" t="s">
        <v>154</v>
      </c>
      <c r="K73" s="7"/>
    </row>
    <row r="74" customFormat="false" ht="23.85" hidden="false" customHeight="false" outlineLevel="0" collapsed="false">
      <c r="A74" s="7" t="s">
        <v>389</v>
      </c>
      <c r="B74" s="7" t="s">
        <v>349</v>
      </c>
      <c r="C74" s="7" t="s">
        <v>390</v>
      </c>
      <c r="D74" s="7" t="s">
        <v>147</v>
      </c>
      <c r="E74" s="7" t="s">
        <v>386</v>
      </c>
      <c r="F74" s="7" t="s">
        <v>133</v>
      </c>
      <c r="G74" s="7" t="s">
        <v>134</v>
      </c>
      <c r="H74" s="7" t="s">
        <v>381</v>
      </c>
      <c r="I74" s="7" t="s">
        <v>391</v>
      </c>
      <c r="J74" s="7" t="s">
        <v>154</v>
      </c>
      <c r="K74" s="7"/>
    </row>
    <row r="75" customFormat="false" ht="23.85" hidden="false" customHeight="false" outlineLevel="0" collapsed="false">
      <c r="A75" s="7" t="s">
        <v>392</v>
      </c>
      <c r="B75" s="7" t="s">
        <v>349</v>
      </c>
      <c r="C75" s="7" t="s">
        <v>393</v>
      </c>
      <c r="D75" s="7" t="s">
        <v>143</v>
      </c>
      <c r="E75" s="7"/>
      <c r="F75" s="7" t="s">
        <v>133</v>
      </c>
      <c r="G75" s="7" t="s">
        <v>134</v>
      </c>
      <c r="H75" s="7" t="s">
        <v>394</v>
      </c>
      <c r="I75" s="7" t="s">
        <v>395</v>
      </c>
      <c r="J75" s="7" t="s">
        <v>154</v>
      </c>
      <c r="K75" s="7"/>
    </row>
    <row r="76" customFormat="false" ht="23.85" hidden="false" customHeight="false" outlineLevel="0" collapsed="false">
      <c r="A76" s="7" t="s">
        <v>396</v>
      </c>
      <c r="B76" s="7" t="s">
        <v>349</v>
      </c>
      <c r="C76" s="7" t="s">
        <v>397</v>
      </c>
      <c r="D76" s="7" t="s">
        <v>147</v>
      </c>
      <c r="E76" s="7" t="s">
        <v>392</v>
      </c>
      <c r="F76" s="7" t="s">
        <v>133</v>
      </c>
      <c r="G76" s="7" t="s">
        <v>134</v>
      </c>
      <c r="H76" s="7" t="s">
        <v>394</v>
      </c>
      <c r="I76" s="7" t="s">
        <v>398</v>
      </c>
      <c r="J76" s="7" t="s">
        <v>154</v>
      </c>
      <c r="K76" s="7"/>
    </row>
    <row r="77" customFormat="false" ht="23.85" hidden="false" customHeight="false" outlineLevel="0" collapsed="false">
      <c r="A77" s="7" t="s">
        <v>399</v>
      </c>
      <c r="B77" s="7" t="s">
        <v>349</v>
      </c>
      <c r="C77" s="7" t="s">
        <v>400</v>
      </c>
      <c r="D77" s="7" t="s">
        <v>143</v>
      </c>
      <c r="E77" s="7"/>
      <c r="F77" s="7" t="s">
        <v>133</v>
      </c>
      <c r="G77" s="7" t="s">
        <v>134</v>
      </c>
      <c r="H77" s="7" t="s">
        <v>394</v>
      </c>
      <c r="I77" s="7" t="s">
        <v>401</v>
      </c>
      <c r="J77" s="7" t="s">
        <v>250</v>
      </c>
      <c r="K77" s="7"/>
    </row>
    <row r="78" customFormat="false" ht="23.85" hidden="false" customHeight="false" outlineLevel="0" collapsed="false">
      <c r="A78" s="7" t="s">
        <v>402</v>
      </c>
      <c r="B78" s="7" t="s">
        <v>349</v>
      </c>
      <c r="C78" s="7" t="s">
        <v>403</v>
      </c>
      <c r="D78" s="7" t="s">
        <v>147</v>
      </c>
      <c r="E78" s="7" t="s">
        <v>399</v>
      </c>
      <c r="F78" s="7" t="s">
        <v>133</v>
      </c>
      <c r="G78" s="7" t="s">
        <v>134</v>
      </c>
      <c r="H78" s="7" t="s">
        <v>394</v>
      </c>
      <c r="I78" s="7" t="s">
        <v>404</v>
      </c>
      <c r="J78" s="7" t="s">
        <v>250</v>
      </c>
      <c r="K78" s="7"/>
    </row>
    <row r="79" customFormat="false" ht="15" hidden="false" customHeight="false" outlineLevel="0" collapsed="false">
      <c r="A79" s="7" t="s">
        <v>405</v>
      </c>
      <c r="B79" s="7" t="s">
        <v>349</v>
      </c>
      <c r="C79" s="7" t="s">
        <v>406</v>
      </c>
      <c r="D79" s="7" t="s">
        <v>143</v>
      </c>
      <c r="E79" s="7"/>
      <c r="F79" s="7" t="s">
        <v>133</v>
      </c>
      <c r="G79" s="7" t="s">
        <v>134</v>
      </c>
      <c r="H79" s="7" t="s">
        <v>407</v>
      </c>
      <c r="I79" s="7" t="s">
        <v>408</v>
      </c>
      <c r="J79" s="7" t="s">
        <v>250</v>
      </c>
      <c r="K79" s="7"/>
    </row>
    <row r="80" customFormat="false" ht="23.85" hidden="false" customHeight="false" outlineLevel="0" collapsed="false">
      <c r="A80" s="7" t="s">
        <v>409</v>
      </c>
      <c r="B80" s="7" t="s">
        <v>349</v>
      </c>
      <c r="C80" s="7" t="s">
        <v>410</v>
      </c>
      <c r="D80" s="7" t="s">
        <v>143</v>
      </c>
      <c r="E80" s="7"/>
      <c r="F80" s="7" t="s">
        <v>133</v>
      </c>
      <c r="G80" s="7" t="s">
        <v>134</v>
      </c>
      <c r="H80" s="7" t="s">
        <v>152</v>
      </c>
      <c r="I80" s="7" t="s">
        <v>411</v>
      </c>
      <c r="J80" s="7" t="s">
        <v>154</v>
      </c>
      <c r="K80" s="7" t="s">
        <v>412</v>
      </c>
    </row>
    <row r="81" customFormat="false" ht="23.85" hidden="false" customHeight="false" outlineLevel="0" collapsed="false">
      <c r="A81" s="7" t="s">
        <v>413</v>
      </c>
      <c r="B81" s="7" t="s">
        <v>349</v>
      </c>
      <c r="C81" s="7" t="s">
        <v>414</v>
      </c>
      <c r="D81" s="7" t="s">
        <v>147</v>
      </c>
      <c r="E81" s="7" t="s">
        <v>409</v>
      </c>
      <c r="F81" s="7" t="s">
        <v>134</v>
      </c>
      <c r="G81" s="7" t="s">
        <v>134</v>
      </c>
      <c r="H81" s="7" t="s">
        <v>415</v>
      </c>
      <c r="I81" s="7" t="s">
        <v>416</v>
      </c>
      <c r="J81" s="7" t="s">
        <v>154</v>
      </c>
      <c r="K81" s="7"/>
    </row>
    <row r="82" customFormat="false" ht="23.85" hidden="false" customHeight="false" outlineLevel="0" collapsed="false">
      <c r="A82" s="7" t="s">
        <v>417</v>
      </c>
      <c r="B82" s="7" t="s">
        <v>349</v>
      </c>
      <c r="C82" s="7" t="s">
        <v>418</v>
      </c>
      <c r="D82" s="7" t="s">
        <v>143</v>
      </c>
      <c r="E82" s="7"/>
      <c r="F82" s="7" t="s">
        <v>133</v>
      </c>
      <c r="G82" s="7" t="s">
        <v>134</v>
      </c>
      <c r="H82" s="7" t="s">
        <v>152</v>
      </c>
      <c r="I82" s="7" t="s">
        <v>419</v>
      </c>
      <c r="J82" s="7" t="s">
        <v>367</v>
      </c>
      <c r="K82" s="7" t="s">
        <v>412</v>
      </c>
    </row>
    <row r="83" customFormat="false" ht="23.85" hidden="false" customHeight="false" outlineLevel="0" collapsed="false">
      <c r="A83" s="7" t="s">
        <v>420</v>
      </c>
      <c r="B83" s="7" t="s">
        <v>349</v>
      </c>
      <c r="C83" s="7" t="s">
        <v>421</v>
      </c>
      <c r="D83" s="7" t="s">
        <v>147</v>
      </c>
      <c r="E83" s="7" t="s">
        <v>417</v>
      </c>
      <c r="F83" s="7" t="s">
        <v>134</v>
      </c>
      <c r="G83" s="7" t="s">
        <v>134</v>
      </c>
      <c r="H83" s="7" t="s">
        <v>415</v>
      </c>
      <c r="I83" s="7" t="s">
        <v>422</v>
      </c>
      <c r="J83" s="7" t="s">
        <v>367</v>
      </c>
      <c r="K83" s="7"/>
    </row>
    <row r="84" customFormat="false" ht="15" hidden="false" customHeight="false" outlineLevel="0" collapsed="false">
      <c r="A84" s="7" t="s">
        <v>423</v>
      </c>
      <c r="B84" s="7" t="s">
        <v>349</v>
      </c>
      <c r="C84" s="7" t="s">
        <v>424</v>
      </c>
      <c r="D84" s="7" t="s">
        <v>143</v>
      </c>
      <c r="E84" s="7"/>
      <c r="F84" s="7" t="s">
        <v>133</v>
      </c>
      <c r="G84" s="7" t="s">
        <v>134</v>
      </c>
      <c r="H84" s="7" t="s">
        <v>425</v>
      </c>
      <c r="I84" s="7" t="s">
        <v>426</v>
      </c>
      <c r="J84" s="7" t="s">
        <v>154</v>
      </c>
      <c r="K84" s="7" t="s">
        <v>412</v>
      </c>
    </row>
    <row r="85" customFormat="false" ht="15" hidden="false" customHeight="false" outlineLevel="0" collapsed="false">
      <c r="A85" s="7" t="s">
        <v>427</v>
      </c>
      <c r="B85" s="7" t="s">
        <v>349</v>
      </c>
      <c r="C85" s="7" t="s">
        <v>428</v>
      </c>
      <c r="D85" s="7" t="s">
        <v>147</v>
      </c>
      <c r="E85" s="7" t="s">
        <v>423</v>
      </c>
      <c r="F85" s="7" t="s">
        <v>133</v>
      </c>
      <c r="G85" s="7" t="s">
        <v>134</v>
      </c>
      <c r="H85" s="7" t="s">
        <v>425</v>
      </c>
      <c r="I85" s="7" t="s">
        <v>429</v>
      </c>
      <c r="J85" s="7" t="s">
        <v>154</v>
      </c>
      <c r="K85" s="7"/>
    </row>
    <row r="86" customFormat="false" ht="23.85" hidden="false" customHeight="false" outlineLevel="0" collapsed="false">
      <c r="A86" s="7" t="s">
        <v>430</v>
      </c>
      <c r="B86" s="7" t="s">
        <v>349</v>
      </c>
      <c r="C86" s="7" t="s">
        <v>431</v>
      </c>
      <c r="D86" s="7" t="s">
        <v>143</v>
      </c>
      <c r="E86" s="7"/>
      <c r="F86" s="7" t="s">
        <v>133</v>
      </c>
      <c r="G86" s="7" t="s">
        <v>134</v>
      </c>
      <c r="H86" s="7" t="s">
        <v>432</v>
      </c>
      <c r="I86" s="7" t="s">
        <v>433</v>
      </c>
      <c r="J86" s="7" t="s">
        <v>154</v>
      </c>
      <c r="K86" s="7" t="s">
        <v>412</v>
      </c>
    </row>
    <row r="87" customFormat="false" ht="23.85" hidden="false" customHeight="false" outlineLevel="0" collapsed="false">
      <c r="A87" s="7" t="s">
        <v>434</v>
      </c>
      <c r="B87" s="7" t="s">
        <v>349</v>
      </c>
      <c r="C87" s="7" t="s">
        <v>435</v>
      </c>
      <c r="D87" s="7" t="s">
        <v>147</v>
      </c>
      <c r="E87" s="7" t="s">
        <v>430</v>
      </c>
      <c r="F87" s="7" t="s">
        <v>133</v>
      </c>
      <c r="G87" s="7" t="s">
        <v>134</v>
      </c>
      <c r="H87" s="7" t="s">
        <v>432</v>
      </c>
      <c r="I87" s="7" t="s">
        <v>436</v>
      </c>
      <c r="J87" s="7" t="s">
        <v>154</v>
      </c>
      <c r="K87" s="7"/>
    </row>
    <row r="88" customFormat="false" ht="23.85" hidden="false" customHeight="false" outlineLevel="0" collapsed="false">
      <c r="A88" s="7" t="s">
        <v>437</v>
      </c>
      <c r="B88" s="7" t="s">
        <v>349</v>
      </c>
      <c r="C88" s="7" t="s">
        <v>438</v>
      </c>
      <c r="D88" s="7" t="s">
        <v>143</v>
      </c>
      <c r="E88" s="7"/>
      <c r="F88" s="7" t="s">
        <v>133</v>
      </c>
      <c r="G88" s="7" t="s">
        <v>134</v>
      </c>
      <c r="H88" s="7" t="s">
        <v>439</v>
      </c>
      <c r="I88" s="7" t="s">
        <v>440</v>
      </c>
      <c r="J88" s="7" t="s">
        <v>347</v>
      </c>
      <c r="K88" s="7"/>
    </row>
    <row r="89" customFormat="false" ht="23.85" hidden="false" customHeight="false" outlineLevel="0" collapsed="false">
      <c r="A89" s="7" t="s">
        <v>441</v>
      </c>
      <c r="B89" s="7" t="s">
        <v>349</v>
      </c>
      <c r="C89" s="7" t="s">
        <v>442</v>
      </c>
      <c r="D89" s="7" t="s">
        <v>443</v>
      </c>
      <c r="E89" s="7" t="s">
        <v>437</v>
      </c>
      <c r="F89" s="7" t="s">
        <v>133</v>
      </c>
      <c r="G89" s="7" t="s">
        <v>133</v>
      </c>
      <c r="H89" s="7" t="s">
        <v>439</v>
      </c>
      <c r="I89" s="7" t="s">
        <v>444</v>
      </c>
      <c r="J89" s="7" t="s">
        <v>347</v>
      </c>
      <c r="K89" s="7"/>
    </row>
    <row r="90" customFormat="false" ht="23.85" hidden="false" customHeight="false" outlineLevel="0" collapsed="false">
      <c r="A90" s="7" t="s">
        <v>445</v>
      </c>
      <c r="B90" s="7" t="s">
        <v>349</v>
      </c>
      <c r="C90" s="7" t="s">
        <v>446</v>
      </c>
      <c r="D90" s="7" t="s">
        <v>143</v>
      </c>
      <c r="E90" s="7"/>
      <c r="F90" s="7" t="s">
        <v>133</v>
      </c>
      <c r="G90" s="7" t="s">
        <v>134</v>
      </c>
      <c r="H90" s="7" t="s">
        <v>371</v>
      </c>
      <c r="I90" s="7" t="s">
        <v>447</v>
      </c>
      <c r="J90" s="7" t="s">
        <v>154</v>
      </c>
      <c r="K90" s="7"/>
    </row>
    <row r="91" customFormat="false" ht="23.85" hidden="false" customHeight="false" outlineLevel="0" collapsed="false">
      <c r="A91" s="7" t="s">
        <v>448</v>
      </c>
      <c r="B91" s="7" t="s">
        <v>349</v>
      </c>
      <c r="C91" s="7" t="s">
        <v>449</v>
      </c>
      <c r="D91" s="7" t="s">
        <v>147</v>
      </c>
      <c r="E91" s="7" t="s">
        <v>445</v>
      </c>
      <c r="F91" s="7" t="s">
        <v>133</v>
      </c>
      <c r="G91" s="7" t="s">
        <v>134</v>
      </c>
      <c r="H91" s="7" t="s">
        <v>371</v>
      </c>
      <c r="I91" s="7" t="s">
        <v>450</v>
      </c>
      <c r="J91" s="7" t="s">
        <v>154</v>
      </c>
      <c r="K91" s="7"/>
    </row>
    <row r="92" customFormat="false" ht="35.05" hidden="false" customHeight="false" outlineLevel="0" collapsed="false">
      <c r="A92" s="7" t="s">
        <v>451</v>
      </c>
      <c r="B92" s="7" t="s">
        <v>349</v>
      </c>
      <c r="C92" s="7" t="s">
        <v>452</v>
      </c>
      <c r="D92" s="7" t="s">
        <v>143</v>
      </c>
      <c r="E92" s="7"/>
      <c r="F92" s="7" t="s">
        <v>133</v>
      </c>
      <c r="G92" s="7" t="s">
        <v>134</v>
      </c>
      <c r="H92" s="7" t="s">
        <v>453</v>
      </c>
      <c r="I92" s="7" t="s">
        <v>454</v>
      </c>
      <c r="J92" s="7" t="s">
        <v>347</v>
      </c>
      <c r="K92" s="7"/>
    </row>
    <row r="93" customFormat="false" ht="35.05" hidden="false" customHeight="false" outlineLevel="0" collapsed="false">
      <c r="A93" s="7" t="s">
        <v>455</v>
      </c>
      <c r="B93" s="7" t="s">
        <v>349</v>
      </c>
      <c r="C93" s="7" t="s">
        <v>456</v>
      </c>
      <c r="D93" s="7" t="s">
        <v>443</v>
      </c>
      <c r="E93" s="7" t="s">
        <v>451</v>
      </c>
      <c r="F93" s="7" t="s">
        <v>133</v>
      </c>
      <c r="G93" s="7" t="s">
        <v>133</v>
      </c>
      <c r="H93" s="7" t="s">
        <v>453</v>
      </c>
      <c r="I93" s="7" t="s">
        <v>457</v>
      </c>
      <c r="J93" s="7" t="s">
        <v>347</v>
      </c>
      <c r="K93" s="7"/>
    </row>
    <row r="94" customFormat="false" ht="23.85" hidden="false" customHeight="false" outlineLevel="0" collapsed="false">
      <c r="A94" s="7" t="s">
        <v>458</v>
      </c>
      <c r="B94" s="7" t="s">
        <v>459</v>
      </c>
      <c r="C94" s="7" t="s">
        <v>460</v>
      </c>
      <c r="D94" s="7" t="s">
        <v>443</v>
      </c>
      <c r="E94" s="7"/>
      <c r="F94" s="7" t="s">
        <v>133</v>
      </c>
      <c r="G94" s="7" t="s">
        <v>133</v>
      </c>
      <c r="H94" s="7" t="s">
        <v>461</v>
      </c>
      <c r="I94" s="7" t="s">
        <v>462</v>
      </c>
      <c r="J94" s="7" t="s">
        <v>137</v>
      </c>
      <c r="K94" s="7"/>
    </row>
    <row r="95" customFormat="false" ht="23.85" hidden="false" customHeight="false" outlineLevel="0" collapsed="false">
      <c r="A95" s="7" t="s">
        <v>463</v>
      </c>
      <c r="B95" s="7" t="s">
        <v>459</v>
      </c>
      <c r="C95" s="7" t="s">
        <v>464</v>
      </c>
      <c r="D95" s="7" t="s">
        <v>443</v>
      </c>
      <c r="E95" s="7"/>
      <c r="F95" s="7" t="s">
        <v>133</v>
      </c>
      <c r="G95" s="7" t="s">
        <v>133</v>
      </c>
      <c r="H95" s="7" t="s">
        <v>465</v>
      </c>
      <c r="I95" s="7" t="s">
        <v>466</v>
      </c>
      <c r="J95" s="7" t="s">
        <v>137</v>
      </c>
      <c r="K95" s="7"/>
    </row>
    <row r="96" customFormat="false" ht="23.85" hidden="false" customHeight="false" outlineLevel="0" collapsed="false">
      <c r="A96" s="7" t="s">
        <v>467</v>
      </c>
      <c r="B96" s="7" t="s">
        <v>459</v>
      </c>
      <c r="C96" s="7" t="s">
        <v>468</v>
      </c>
      <c r="D96" s="7" t="s">
        <v>443</v>
      </c>
      <c r="E96" s="7"/>
      <c r="F96" s="7" t="s">
        <v>133</v>
      </c>
      <c r="G96" s="7" t="s">
        <v>133</v>
      </c>
      <c r="H96" s="7" t="s">
        <v>469</v>
      </c>
      <c r="I96" s="7" t="s">
        <v>470</v>
      </c>
      <c r="J96" s="7" t="s">
        <v>137</v>
      </c>
      <c r="K96" s="7"/>
    </row>
    <row r="97" customFormat="false" ht="23.85" hidden="false" customHeight="false" outlineLevel="0" collapsed="false">
      <c r="A97" s="7" t="s">
        <v>471</v>
      </c>
      <c r="B97" s="7" t="s">
        <v>459</v>
      </c>
      <c r="C97" s="7" t="s">
        <v>472</v>
      </c>
      <c r="D97" s="7" t="s">
        <v>443</v>
      </c>
      <c r="E97" s="7"/>
      <c r="F97" s="7" t="s">
        <v>133</v>
      </c>
      <c r="G97" s="7" t="s">
        <v>133</v>
      </c>
      <c r="H97" s="7" t="s">
        <v>473</v>
      </c>
      <c r="I97" s="7" t="s">
        <v>474</v>
      </c>
      <c r="J97" s="7" t="s">
        <v>137</v>
      </c>
      <c r="K97" s="7"/>
    </row>
    <row r="98" customFormat="false" ht="23.85" hidden="false" customHeight="false" outlineLevel="0" collapsed="false">
      <c r="A98" s="7" t="s">
        <v>475</v>
      </c>
      <c r="B98" s="7" t="s">
        <v>459</v>
      </c>
      <c r="C98" s="7" t="s">
        <v>476</v>
      </c>
      <c r="D98" s="7" t="s">
        <v>143</v>
      </c>
      <c r="E98" s="7"/>
      <c r="F98" s="7" t="s">
        <v>133</v>
      </c>
      <c r="G98" s="7" t="s">
        <v>134</v>
      </c>
      <c r="H98" s="7" t="s">
        <v>477</v>
      </c>
      <c r="I98" s="7" t="s">
        <v>478</v>
      </c>
      <c r="J98" s="7" t="s">
        <v>137</v>
      </c>
      <c r="K98" s="7"/>
    </row>
    <row r="99" customFormat="false" ht="23.85" hidden="false" customHeight="false" outlineLevel="0" collapsed="false">
      <c r="A99" s="7" t="s">
        <v>479</v>
      </c>
      <c r="B99" s="7" t="s">
        <v>459</v>
      </c>
      <c r="C99" s="7" t="s">
        <v>480</v>
      </c>
      <c r="D99" s="7" t="s">
        <v>481</v>
      </c>
      <c r="E99" s="7"/>
      <c r="F99" s="7" t="s">
        <v>133</v>
      </c>
      <c r="G99" s="7" t="s">
        <v>133</v>
      </c>
      <c r="H99" s="7" t="s">
        <v>482</v>
      </c>
      <c r="I99" s="7" t="s">
        <v>483</v>
      </c>
      <c r="J99" s="7" t="s">
        <v>154</v>
      </c>
      <c r="K99" s="7"/>
    </row>
    <row r="100" customFormat="false" ht="23.85" hidden="false" customHeight="false" outlineLevel="0" collapsed="false">
      <c r="A100" s="7" t="s">
        <v>484</v>
      </c>
      <c r="B100" s="7" t="s">
        <v>459</v>
      </c>
      <c r="C100" s="7" t="s">
        <v>485</v>
      </c>
      <c r="D100" s="7" t="s">
        <v>143</v>
      </c>
      <c r="E100" s="7"/>
      <c r="F100" s="7" t="s">
        <v>133</v>
      </c>
      <c r="G100" s="7" t="s">
        <v>134</v>
      </c>
      <c r="H100" s="7" t="s">
        <v>486</v>
      </c>
      <c r="I100" s="7" t="s">
        <v>487</v>
      </c>
      <c r="J100" s="7" t="s">
        <v>137</v>
      </c>
      <c r="K100" s="7"/>
    </row>
    <row r="101" customFormat="false" ht="15" hidden="false" customHeight="false" outlineLevel="0" collapsed="false">
      <c r="A101" s="7" t="s">
        <v>488</v>
      </c>
      <c r="B101" s="7" t="s">
        <v>459</v>
      </c>
      <c r="C101" s="7" t="s">
        <v>489</v>
      </c>
      <c r="D101" s="7" t="s">
        <v>143</v>
      </c>
      <c r="E101" s="7"/>
      <c r="F101" s="7" t="s">
        <v>133</v>
      </c>
      <c r="G101" s="7" t="s">
        <v>134</v>
      </c>
      <c r="H101" s="7" t="s">
        <v>490</v>
      </c>
      <c r="I101" s="7" t="s">
        <v>491</v>
      </c>
      <c r="J101" s="7" t="s">
        <v>154</v>
      </c>
      <c r="K101" s="7"/>
    </row>
    <row r="102" customFormat="false" ht="23.85" hidden="false" customHeight="false" outlineLevel="0" collapsed="false">
      <c r="A102" s="7" t="s">
        <v>492</v>
      </c>
      <c r="B102" s="7" t="s">
        <v>459</v>
      </c>
      <c r="C102" s="7" t="s">
        <v>493</v>
      </c>
      <c r="D102" s="7" t="s">
        <v>143</v>
      </c>
      <c r="E102" s="7"/>
      <c r="F102" s="7" t="s">
        <v>133</v>
      </c>
      <c r="G102" s="7" t="s">
        <v>134</v>
      </c>
      <c r="H102" s="7" t="s">
        <v>494</v>
      </c>
      <c r="I102" s="7" t="s">
        <v>495</v>
      </c>
      <c r="J102" s="7" t="s">
        <v>137</v>
      </c>
      <c r="K102" s="7"/>
    </row>
    <row r="103" customFormat="false" ht="23.85" hidden="false" customHeight="false" outlineLevel="0" collapsed="false">
      <c r="A103" s="7" t="s">
        <v>496</v>
      </c>
      <c r="B103" s="7" t="s">
        <v>459</v>
      </c>
      <c r="C103" s="7" t="s">
        <v>497</v>
      </c>
      <c r="D103" s="7" t="s">
        <v>143</v>
      </c>
      <c r="E103" s="7"/>
      <c r="F103" s="7" t="s">
        <v>133</v>
      </c>
      <c r="G103" s="7" t="s">
        <v>134</v>
      </c>
      <c r="H103" s="7" t="s">
        <v>498</v>
      </c>
      <c r="I103" s="7" t="s">
        <v>499</v>
      </c>
      <c r="J103" s="7" t="s">
        <v>137</v>
      </c>
      <c r="K103" s="7"/>
    </row>
    <row r="104" customFormat="false" ht="23.85" hidden="false" customHeight="false" outlineLevel="0" collapsed="false">
      <c r="A104" s="7" t="s">
        <v>500</v>
      </c>
      <c r="B104" s="7" t="s">
        <v>459</v>
      </c>
      <c r="C104" s="7" t="s">
        <v>501</v>
      </c>
      <c r="D104" s="7" t="s">
        <v>443</v>
      </c>
      <c r="E104" s="7"/>
      <c r="F104" s="7" t="s">
        <v>133</v>
      </c>
      <c r="G104" s="7" t="s">
        <v>133</v>
      </c>
      <c r="H104" s="7" t="s">
        <v>502</v>
      </c>
      <c r="I104" s="7" t="s">
        <v>503</v>
      </c>
      <c r="J104" s="7" t="s">
        <v>137</v>
      </c>
      <c r="K104" s="7"/>
    </row>
    <row r="105" customFormat="false" ht="23.85" hidden="false" customHeight="false" outlineLevel="0" collapsed="false">
      <c r="A105" s="7" t="s">
        <v>504</v>
      </c>
      <c r="B105" s="7" t="s">
        <v>459</v>
      </c>
      <c r="C105" s="7" t="s">
        <v>505</v>
      </c>
      <c r="D105" s="7" t="s">
        <v>143</v>
      </c>
      <c r="E105" s="7"/>
      <c r="F105" s="7" t="s">
        <v>133</v>
      </c>
      <c r="G105" s="7" t="s">
        <v>134</v>
      </c>
      <c r="H105" s="7" t="s">
        <v>506</v>
      </c>
      <c r="I105" s="7" t="s">
        <v>507</v>
      </c>
      <c r="J105" s="7" t="s">
        <v>154</v>
      </c>
      <c r="K105" s="7"/>
    </row>
    <row r="106" customFormat="false" ht="23.85" hidden="false" customHeight="false" outlineLevel="0" collapsed="false">
      <c r="A106" s="7" t="s">
        <v>508</v>
      </c>
      <c r="B106" s="7" t="s">
        <v>459</v>
      </c>
      <c r="C106" s="7" t="s">
        <v>509</v>
      </c>
      <c r="D106" s="7" t="s">
        <v>143</v>
      </c>
      <c r="E106" s="7"/>
      <c r="F106" s="7" t="s">
        <v>133</v>
      </c>
      <c r="G106" s="7" t="s">
        <v>134</v>
      </c>
      <c r="H106" s="7" t="s">
        <v>510</v>
      </c>
      <c r="I106" s="7" t="s">
        <v>511</v>
      </c>
      <c r="J106" s="7" t="s">
        <v>154</v>
      </c>
      <c r="K106" s="7"/>
    </row>
    <row r="107" customFormat="false" ht="23.85" hidden="false" customHeight="false" outlineLevel="0" collapsed="false">
      <c r="A107" s="7" t="s">
        <v>512</v>
      </c>
      <c r="B107" s="7" t="s">
        <v>459</v>
      </c>
      <c r="C107" s="7" t="s">
        <v>513</v>
      </c>
      <c r="D107" s="7" t="s">
        <v>143</v>
      </c>
      <c r="E107" s="7"/>
      <c r="F107" s="7" t="s">
        <v>133</v>
      </c>
      <c r="G107" s="7" t="s">
        <v>134</v>
      </c>
      <c r="H107" s="7" t="s">
        <v>510</v>
      </c>
      <c r="I107" s="7" t="s">
        <v>514</v>
      </c>
      <c r="J107" s="7" t="s">
        <v>154</v>
      </c>
      <c r="K107" s="7"/>
    </row>
    <row r="108" customFormat="false" ht="23.85" hidden="false" customHeight="false" outlineLevel="0" collapsed="false">
      <c r="A108" s="7" t="s">
        <v>515</v>
      </c>
      <c r="B108" s="7" t="s">
        <v>459</v>
      </c>
      <c r="C108" s="7" t="s">
        <v>516</v>
      </c>
      <c r="D108" s="7" t="s">
        <v>443</v>
      </c>
      <c r="E108" s="7"/>
      <c r="F108" s="7" t="s">
        <v>133</v>
      </c>
      <c r="G108" s="7" t="s">
        <v>133</v>
      </c>
      <c r="H108" s="7" t="s">
        <v>517</v>
      </c>
      <c r="I108" s="7" t="s">
        <v>518</v>
      </c>
      <c r="J108" s="7" t="s">
        <v>250</v>
      </c>
      <c r="K108" s="7"/>
    </row>
    <row r="109" customFormat="false" ht="35.05" hidden="false" customHeight="false" outlineLevel="0" collapsed="false">
      <c r="A109" s="7" t="s">
        <v>519</v>
      </c>
      <c r="B109" s="7" t="s">
        <v>459</v>
      </c>
      <c r="C109" s="7" t="s">
        <v>520</v>
      </c>
      <c r="D109" s="7" t="s">
        <v>443</v>
      </c>
      <c r="E109" s="7"/>
      <c r="F109" s="7" t="s">
        <v>133</v>
      </c>
      <c r="G109" s="7" t="s">
        <v>133</v>
      </c>
      <c r="H109" s="7" t="s">
        <v>521</v>
      </c>
      <c r="I109" s="7" t="s">
        <v>522</v>
      </c>
      <c r="J109" s="7" t="s">
        <v>523</v>
      </c>
      <c r="K109" s="7"/>
    </row>
    <row r="110" customFormat="false" ht="23.85" hidden="false" customHeight="false" outlineLevel="0" collapsed="false">
      <c r="A110" s="7" t="s">
        <v>524</v>
      </c>
      <c r="B110" s="7" t="s">
        <v>459</v>
      </c>
      <c r="C110" s="7" t="s">
        <v>525</v>
      </c>
      <c r="D110" s="7" t="s">
        <v>443</v>
      </c>
      <c r="E110" s="7"/>
      <c r="F110" s="7" t="s">
        <v>133</v>
      </c>
      <c r="G110" s="7" t="s">
        <v>133</v>
      </c>
      <c r="H110" s="7" t="s">
        <v>526</v>
      </c>
      <c r="I110" s="7" t="s">
        <v>527</v>
      </c>
      <c r="J110" s="7" t="s">
        <v>250</v>
      </c>
      <c r="K110" s="7"/>
    </row>
    <row r="111" customFormat="false" ht="23.85" hidden="false" customHeight="false" outlineLevel="0" collapsed="false">
      <c r="A111" s="7" t="s">
        <v>528</v>
      </c>
      <c r="B111" s="7" t="s">
        <v>459</v>
      </c>
      <c r="C111" s="7" t="s">
        <v>529</v>
      </c>
      <c r="D111" s="7" t="s">
        <v>443</v>
      </c>
      <c r="E111" s="7"/>
      <c r="F111" s="7" t="s">
        <v>133</v>
      </c>
      <c r="G111" s="7" t="s">
        <v>133</v>
      </c>
      <c r="H111" s="7" t="s">
        <v>530</v>
      </c>
      <c r="I111" s="7" t="s">
        <v>531</v>
      </c>
      <c r="J111" s="7" t="s">
        <v>367</v>
      </c>
      <c r="K111" s="7"/>
    </row>
    <row r="112" customFormat="false" ht="23.85" hidden="false" customHeight="false" outlineLevel="0" collapsed="false">
      <c r="A112" s="7" t="s">
        <v>532</v>
      </c>
      <c r="B112" s="7" t="s">
        <v>459</v>
      </c>
      <c r="C112" s="7" t="s">
        <v>533</v>
      </c>
      <c r="D112" s="7" t="s">
        <v>443</v>
      </c>
      <c r="E112" s="7"/>
      <c r="F112" s="7" t="s">
        <v>133</v>
      </c>
      <c r="G112" s="7" t="s">
        <v>133</v>
      </c>
      <c r="H112" s="7" t="s">
        <v>534</v>
      </c>
      <c r="I112" s="7" t="s">
        <v>535</v>
      </c>
      <c r="J112" s="7" t="s">
        <v>154</v>
      </c>
      <c r="K112" s="7"/>
    </row>
  </sheetData>
  <autoFilter ref="A4:K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8A84"/>
    <pageSetUpPr fitToPage="false"/>
  </sheetPr>
  <dimension ref="A1:P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28"/>
    <col collapsed="false" customWidth="true" hidden="false" outlineLevel="0" max="5" min="5" style="0" width="60"/>
    <col collapsed="false" customWidth="true" hidden="false" outlineLevel="0" max="6" min="6" style="0" width="50"/>
    <col collapsed="false" customWidth="true" hidden="false" outlineLevel="0" max="7" min="7" style="0" width="9"/>
    <col collapsed="false" customWidth="true" hidden="false" outlineLevel="0" max="8" min="8" style="0" width="18"/>
    <col collapsed="false" customWidth="true" hidden="false" outlineLevel="0" max="9" min="9" style="0" width="22"/>
    <col collapsed="false" customWidth="true" hidden="false" outlineLevel="0" max="10" min="10" style="0" width="16"/>
    <col collapsed="false" customWidth="true" hidden="false" outlineLevel="0" max="11" min="11" style="0" width="14"/>
    <col collapsed="false" customWidth="true" hidden="false" outlineLevel="0" max="13" min="12" style="0" width="16"/>
    <col collapsed="false" customWidth="true" hidden="false" outlineLevel="0" max="14" min="14" style="0" width="12"/>
    <col collapsed="false" customWidth="true" hidden="false" outlineLevel="0" max="15" min="15" style="0" width="10"/>
    <col collapsed="false" customWidth="true" hidden="false" outlineLevel="0" max="16" min="16" style="0" width="16"/>
  </cols>
  <sheetData>
    <row r="1" customFormat="false" ht="17.35" hidden="false" customHeight="false" outlineLevel="0" collapsed="false">
      <c r="A1" s="1" t="s">
        <v>536</v>
      </c>
    </row>
    <row r="2" customFormat="false" ht="15" hidden="false" customHeight="false" outlineLevel="0" collapsed="false">
      <c r="A2" s="2" t="s">
        <v>537</v>
      </c>
    </row>
    <row r="4" customFormat="false" ht="31.5" hidden="false" customHeight="true" outlineLevel="0" collapsed="false">
      <c r="A4" s="6" t="s">
        <v>118</v>
      </c>
      <c r="B4" s="6" t="s">
        <v>538</v>
      </c>
      <c r="C4" s="6" t="s">
        <v>539</v>
      </c>
      <c r="D4" s="6" t="s">
        <v>540</v>
      </c>
      <c r="E4" s="6" t="s">
        <v>120</v>
      </c>
      <c r="F4" s="6" t="s">
        <v>125</v>
      </c>
      <c r="G4" s="6" t="s">
        <v>541</v>
      </c>
      <c r="H4" s="6" t="s">
        <v>126</v>
      </c>
      <c r="I4" s="6" t="s">
        <v>127</v>
      </c>
      <c r="J4" s="6" t="s">
        <v>542</v>
      </c>
      <c r="K4" s="6" t="s">
        <v>543</v>
      </c>
      <c r="L4" s="6" t="s">
        <v>544</v>
      </c>
      <c r="M4" s="6" t="s">
        <v>545</v>
      </c>
      <c r="N4" s="6" t="s">
        <v>546</v>
      </c>
      <c r="O4" s="6" t="s">
        <v>547</v>
      </c>
      <c r="P4" s="6" t="s">
        <v>548</v>
      </c>
    </row>
    <row r="5" customFormat="false" ht="147" hidden="false" customHeight="false" outlineLevel="0" collapsed="false">
      <c r="A5" s="7" t="s">
        <v>549</v>
      </c>
      <c r="B5" s="7" t="s">
        <v>550</v>
      </c>
      <c r="C5" s="7" t="s">
        <v>551</v>
      </c>
      <c r="D5" s="7" t="s">
        <v>552</v>
      </c>
      <c r="E5" s="7" t="s">
        <v>553</v>
      </c>
      <c r="F5" s="7" t="s">
        <v>554</v>
      </c>
      <c r="G5" s="8" t="n">
        <v>0.9</v>
      </c>
      <c r="H5" s="7" t="s">
        <v>555</v>
      </c>
      <c r="I5" s="7" t="s">
        <v>250</v>
      </c>
      <c r="J5" s="7" t="s">
        <v>556</v>
      </c>
      <c r="K5" s="7" t="s">
        <v>557</v>
      </c>
      <c r="L5" s="7" t="s">
        <v>558</v>
      </c>
      <c r="M5" s="7" t="s">
        <v>559</v>
      </c>
      <c r="N5" s="7" t="s">
        <v>560</v>
      </c>
      <c r="O5" s="7"/>
      <c r="P5" s="7" t="s">
        <v>561</v>
      </c>
    </row>
    <row r="6" customFormat="false" ht="113.4" hidden="false" customHeight="false" outlineLevel="0" collapsed="false">
      <c r="A6" s="7" t="s">
        <v>562</v>
      </c>
      <c r="B6" s="7" t="s">
        <v>563</v>
      </c>
      <c r="C6" s="7" t="s">
        <v>551</v>
      </c>
      <c r="D6" s="7" t="s">
        <v>564</v>
      </c>
      <c r="E6" s="7" t="s">
        <v>565</v>
      </c>
      <c r="F6" s="7" t="s">
        <v>566</v>
      </c>
      <c r="G6" s="8" t="n">
        <v>1</v>
      </c>
      <c r="H6" s="7" t="s">
        <v>567</v>
      </c>
      <c r="I6" s="7" t="s">
        <v>250</v>
      </c>
      <c r="J6" s="7" t="s">
        <v>568</v>
      </c>
      <c r="K6" s="7" t="s">
        <v>569</v>
      </c>
      <c r="L6" s="7" t="s">
        <v>563</v>
      </c>
      <c r="M6" s="7" t="s">
        <v>570</v>
      </c>
      <c r="N6" s="7" t="s">
        <v>571</v>
      </c>
      <c r="O6" s="7"/>
      <c r="P6" s="7" t="s">
        <v>572</v>
      </c>
    </row>
    <row r="7" customFormat="false" ht="68.65" hidden="false" customHeight="false" outlineLevel="0" collapsed="false">
      <c r="A7" s="7" t="s">
        <v>573</v>
      </c>
      <c r="B7" s="7" t="s">
        <v>574</v>
      </c>
      <c r="C7" s="7" t="s">
        <v>551</v>
      </c>
      <c r="D7" s="7" t="s">
        <v>575</v>
      </c>
      <c r="E7" s="7" t="s">
        <v>576</v>
      </c>
      <c r="F7" s="7" t="s">
        <v>577</v>
      </c>
      <c r="G7" s="8" t="n">
        <v>1</v>
      </c>
      <c r="H7" s="7" t="s">
        <v>578</v>
      </c>
      <c r="I7" s="7" t="s">
        <v>367</v>
      </c>
      <c r="J7" s="7" t="s">
        <v>556</v>
      </c>
      <c r="K7" s="7" t="s">
        <v>557</v>
      </c>
      <c r="L7" s="7" t="s">
        <v>579</v>
      </c>
      <c r="M7" s="7" t="s">
        <v>368</v>
      </c>
      <c r="N7" s="7" t="s">
        <v>580</v>
      </c>
      <c r="O7" s="7"/>
      <c r="P7" s="7" t="s">
        <v>581</v>
      </c>
    </row>
    <row r="8" customFormat="false" ht="57.45" hidden="false" customHeight="false" outlineLevel="0" collapsed="false">
      <c r="A8" s="7" t="s">
        <v>582</v>
      </c>
      <c r="B8" s="7" t="s">
        <v>583</v>
      </c>
      <c r="C8" s="7" t="s">
        <v>551</v>
      </c>
      <c r="D8" s="7" t="s">
        <v>584</v>
      </c>
      <c r="E8" s="7" t="s">
        <v>585</v>
      </c>
      <c r="F8" s="7" t="s">
        <v>586</v>
      </c>
      <c r="G8" s="8" t="n">
        <v>0.1</v>
      </c>
      <c r="H8" s="7" t="s">
        <v>587</v>
      </c>
      <c r="I8" s="7" t="s">
        <v>347</v>
      </c>
      <c r="J8" s="7" t="s">
        <v>568</v>
      </c>
      <c r="K8" s="7" t="s">
        <v>569</v>
      </c>
      <c r="L8" s="7" t="s">
        <v>588</v>
      </c>
      <c r="M8" s="7" t="s">
        <v>589</v>
      </c>
      <c r="N8" s="7" t="s">
        <v>590</v>
      </c>
      <c r="O8" s="7"/>
      <c r="P8" s="7" t="s">
        <v>591</v>
      </c>
    </row>
    <row r="9" customFormat="false" ht="102.2" hidden="false" customHeight="false" outlineLevel="0" collapsed="false">
      <c r="A9" s="7" t="s">
        <v>592</v>
      </c>
      <c r="B9" s="7" t="s">
        <v>593</v>
      </c>
      <c r="C9" s="7" t="s">
        <v>551</v>
      </c>
      <c r="D9" s="7" t="s">
        <v>594</v>
      </c>
      <c r="E9" s="7" t="s">
        <v>595</v>
      </c>
      <c r="F9" s="7" t="s">
        <v>596</v>
      </c>
      <c r="G9" s="8" t="n">
        <v>0.5</v>
      </c>
      <c r="H9" s="7" t="s">
        <v>597</v>
      </c>
      <c r="I9" s="7" t="s">
        <v>598</v>
      </c>
      <c r="J9" s="7" t="s">
        <v>556</v>
      </c>
      <c r="K9" s="7" t="s">
        <v>557</v>
      </c>
      <c r="L9" s="7" t="s">
        <v>599</v>
      </c>
      <c r="M9" s="7" t="s">
        <v>600</v>
      </c>
      <c r="N9" s="7" t="s">
        <v>601</v>
      </c>
      <c r="O9" s="7"/>
      <c r="P9" s="7" t="s">
        <v>602</v>
      </c>
    </row>
    <row r="10" customFormat="false" ht="79.85" hidden="false" customHeight="false" outlineLevel="0" collapsed="false">
      <c r="A10" s="7" t="s">
        <v>603</v>
      </c>
      <c r="B10" s="7" t="s">
        <v>604</v>
      </c>
      <c r="C10" s="7" t="s">
        <v>551</v>
      </c>
      <c r="D10" s="7" t="s">
        <v>594</v>
      </c>
      <c r="E10" s="7" t="s">
        <v>605</v>
      </c>
      <c r="F10" s="7" t="s">
        <v>606</v>
      </c>
      <c r="G10" s="8" t="n">
        <v>0.7</v>
      </c>
      <c r="H10" s="7" t="s">
        <v>607</v>
      </c>
      <c r="I10" s="7" t="s">
        <v>523</v>
      </c>
      <c r="J10" s="7" t="s">
        <v>556</v>
      </c>
      <c r="K10" s="7" t="s">
        <v>557</v>
      </c>
      <c r="L10" s="7" t="s">
        <v>608</v>
      </c>
      <c r="M10" s="7" t="s">
        <v>609</v>
      </c>
      <c r="N10" s="7" t="s">
        <v>601</v>
      </c>
      <c r="O10" s="7"/>
      <c r="P10" s="7" t="s">
        <v>610</v>
      </c>
    </row>
    <row r="11" customFormat="false" ht="57.45" hidden="false" customHeight="false" outlineLevel="0" collapsed="false">
      <c r="A11" s="7" t="s">
        <v>611</v>
      </c>
      <c r="B11" s="7" t="s">
        <v>612</v>
      </c>
      <c r="C11" s="7" t="s">
        <v>551</v>
      </c>
      <c r="D11" s="7" t="s">
        <v>613</v>
      </c>
      <c r="E11" s="7" t="s">
        <v>614</v>
      </c>
      <c r="F11" s="7" t="s">
        <v>615</v>
      </c>
      <c r="G11" s="8" t="n">
        <v>0.1</v>
      </c>
      <c r="H11" s="7" t="s">
        <v>616</v>
      </c>
      <c r="I11" s="7" t="s">
        <v>523</v>
      </c>
      <c r="J11" s="7" t="s">
        <v>568</v>
      </c>
      <c r="K11" s="7" t="s">
        <v>569</v>
      </c>
      <c r="L11" s="7" t="s">
        <v>617</v>
      </c>
      <c r="M11" s="7" t="s">
        <v>618</v>
      </c>
      <c r="N11" s="7" t="s">
        <v>619</v>
      </c>
      <c r="O11" s="7"/>
      <c r="P11" s="7" t="s">
        <v>620</v>
      </c>
    </row>
    <row r="12" customFormat="false" ht="68.65" hidden="false" customHeight="false" outlineLevel="0" collapsed="false">
      <c r="A12" s="7" t="s">
        <v>621</v>
      </c>
      <c r="B12" s="7" t="s">
        <v>622</v>
      </c>
      <c r="C12" s="7" t="s">
        <v>551</v>
      </c>
      <c r="D12" s="7" t="s">
        <v>623</v>
      </c>
      <c r="E12" s="7" t="s">
        <v>624</v>
      </c>
      <c r="F12" s="7" t="s">
        <v>625</v>
      </c>
      <c r="G12" s="8" t="n">
        <v>0.2</v>
      </c>
      <c r="H12" s="7" t="s">
        <v>626</v>
      </c>
      <c r="I12" s="7" t="s">
        <v>627</v>
      </c>
      <c r="J12" s="7" t="s">
        <v>628</v>
      </c>
      <c r="K12" s="7" t="s">
        <v>569</v>
      </c>
      <c r="L12" s="7" t="s">
        <v>612</v>
      </c>
      <c r="M12" s="7" t="s">
        <v>609</v>
      </c>
      <c r="N12" s="7"/>
      <c r="O12" s="7"/>
      <c r="P12" s="7" t="s">
        <v>629</v>
      </c>
    </row>
    <row r="13" customFormat="false" ht="91" hidden="false" customHeight="false" outlineLevel="0" collapsed="false">
      <c r="A13" s="7" t="s">
        <v>630</v>
      </c>
      <c r="B13" s="7" t="s">
        <v>631</v>
      </c>
      <c r="C13" s="7" t="s">
        <v>551</v>
      </c>
      <c r="D13" s="7" t="s">
        <v>623</v>
      </c>
      <c r="E13" s="7" t="s">
        <v>632</v>
      </c>
      <c r="F13" s="7" t="s">
        <v>633</v>
      </c>
      <c r="G13" s="8" t="n">
        <v>0.1</v>
      </c>
      <c r="H13" s="7" t="s">
        <v>634</v>
      </c>
      <c r="I13" s="7" t="s">
        <v>250</v>
      </c>
      <c r="J13" s="7" t="s">
        <v>568</v>
      </c>
      <c r="K13" s="7" t="s">
        <v>569</v>
      </c>
      <c r="L13" s="7" t="s">
        <v>635</v>
      </c>
      <c r="M13" s="7"/>
      <c r="N13" s="7"/>
      <c r="O13" s="7"/>
      <c r="P13" s="7" t="s">
        <v>636</v>
      </c>
    </row>
    <row r="14" customFormat="false" ht="79.85" hidden="false" customHeight="false" outlineLevel="0" collapsed="false">
      <c r="A14" s="7" t="s">
        <v>637</v>
      </c>
      <c r="B14" s="7" t="s">
        <v>638</v>
      </c>
      <c r="C14" s="7" t="s">
        <v>551</v>
      </c>
      <c r="D14" s="7" t="s">
        <v>584</v>
      </c>
      <c r="E14" s="7" t="s">
        <v>639</v>
      </c>
      <c r="F14" s="7" t="s">
        <v>640</v>
      </c>
      <c r="G14" s="8" t="n">
        <v>0.1</v>
      </c>
      <c r="H14" s="7" t="s">
        <v>641</v>
      </c>
      <c r="I14" s="7" t="s">
        <v>347</v>
      </c>
      <c r="J14" s="7" t="s">
        <v>568</v>
      </c>
      <c r="K14" s="7" t="s">
        <v>569</v>
      </c>
      <c r="L14" s="7" t="s">
        <v>642</v>
      </c>
      <c r="M14" s="7" t="s">
        <v>643</v>
      </c>
      <c r="N14" s="7" t="s">
        <v>644</v>
      </c>
      <c r="O14" s="7" t="s">
        <v>133</v>
      </c>
      <c r="P14" s="7" t="s">
        <v>645</v>
      </c>
    </row>
    <row r="16" customFormat="false" ht="15" hidden="false" customHeight="false" outlineLevel="0" collapsed="false">
      <c r="E16" s="11" t="s">
        <v>646</v>
      </c>
      <c r="F16" s="11" t="n">
        <f aca="false">COUNTA(A5:A14)</f>
        <v>10</v>
      </c>
      <c r="G16" s="12" t="n">
        <f aca="false">SUM(G5:G14)</f>
        <v>4.7</v>
      </c>
    </row>
  </sheetData>
  <autoFilter ref="A4:P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CAD"/>
    <pageSetUpPr fitToPage="false"/>
  </sheetPr>
  <dimension ref="A1:I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0"/>
    <col collapsed="false" customWidth="true" hidden="false" outlineLevel="0" max="4" min="4" style="0" width="80"/>
    <col collapsed="false" customWidth="true" hidden="false" outlineLevel="0" max="5" min="5" style="0" width="11"/>
    <col collapsed="false" customWidth="true" hidden="false" outlineLevel="0" max="6" min="6" style="0" width="24"/>
    <col collapsed="false" customWidth="true" hidden="false" outlineLevel="0" max="7" min="7" style="0" width="10"/>
    <col collapsed="false" customWidth="true" hidden="false" outlineLevel="0" max="8" min="8" style="0" width="24"/>
    <col collapsed="false" customWidth="true" hidden="false" outlineLevel="0" max="9" min="9" style="0" width="44"/>
  </cols>
  <sheetData>
    <row r="1" customFormat="false" ht="17.35" hidden="false" customHeight="false" outlineLevel="0" collapsed="false">
      <c r="A1" s="1" t="s">
        <v>647</v>
      </c>
    </row>
    <row r="2" customFormat="false" ht="15" hidden="false" customHeight="false" outlineLevel="0" collapsed="false">
      <c r="A2" s="2" t="s">
        <v>648</v>
      </c>
    </row>
    <row r="4" customFormat="false" ht="31.5" hidden="false" customHeight="true" outlineLevel="0" collapsed="false">
      <c r="A4" s="6" t="s">
        <v>118</v>
      </c>
      <c r="B4" s="6" t="s">
        <v>649</v>
      </c>
      <c r="C4" s="6" t="s">
        <v>540</v>
      </c>
      <c r="D4" s="6" t="s">
        <v>650</v>
      </c>
      <c r="E4" s="6" t="s">
        <v>651</v>
      </c>
      <c r="F4" s="6" t="s">
        <v>652</v>
      </c>
      <c r="G4" s="6" t="s">
        <v>653</v>
      </c>
      <c r="H4" s="6" t="s">
        <v>654</v>
      </c>
      <c r="I4" s="6" t="s">
        <v>655</v>
      </c>
    </row>
    <row r="5" customFormat="false" ht="23.85" hidden="false" customHeight="false" outlineLevel="0" collapsed="false">
      <c r="A5" s="7" t="s">
        <v>656</v>
      </c>
      <c r="B5" s="7" t="s">
        <v>657</v>
      </c>
      <c r="C5" s="7" t="s">
        <v>658</v>
      </c>
      <c r="D5" s="7" t="s">
        <v>659</v>
      </c>
      <c r="E5" s="7" t="s">
        <v>133</v>
      </c>
      <c r="F5" s="7" t="s">
        <v>549</v>
      </c>
      <c r="G5" s="7" t="s">
        <v>660</v>
      </c>
      <c r="H5" s="7" t="s">
        <v>661</v>
      </c>
      <c r="I5" s="7" t="s">
        <v>662</v>
      </c>
    </row>
    <row r="6" customFormat="false" ht="23.85" hidden="false" customHeight="false" outlineLevel="0" collapsed="false">
      <c r="A6" s="7" t="s">
        <v>663</v>
      </c>
      <c r="B6" s="7" t="s">
        <v>664</v>
      </c>
      <c r="C6" s="7" t="s">
        <v>658</v>
      </c>
      <c r="D6" s="7" t="s">
        <v>665</v>
      </c>
      <c r="E6" s="7" t="s">
        <v>134</v>
      </c>
      <c r="F6" s="7" t="s">
        <v>666</v>
      </c>
      <c r="G6" s="7"/>
      <c r="H6" s="7" t="s">
        <v>667</v>
      </c>
      <c r="I6" s="7" t="s">
        <v>662</v>
      </c>
    </row>
    <row r="7" customFormat="false" ht="23.85" hidden="false" customHeight="false" outlineLevel="0" collapsed="false">
      <c r="A7" s="7" t="s">
        <v>668</v>
      </c>
      <c r="B7" s="7" t="s">
        <v>669</v>
      </c>
      <c r="C7" s="7" t="s">
        <v>658</v>
      </c>
      <c r="D7" s="7" t="s">
        <v>670</v>
      </c>
      <c r="E7" s="7" t="s">
        <v>134</v>
      </c>
      <c r="F7" s="7" t="s">
        <v>671</v>
      </c>
      <c r="G7" s="7"/>
      <c r="H7" s="7" t="s">
        <v>667</v>
      </c>
      <c r="I7" s="7" t="s">
        <v>662</v>
      </c>
    </row>
    <row r="8" customFormat="false" ht="23.85" hidden="false" customHeight="false" outlineLevel="0" collapsed="false">
      <c r="A8" s="7" t="s">
        <v>672</v>
      </c>
      <c r="B8" s="7" t="s">
        <v>673</v>
      </c>
      <c r="C8" s="7" t="s">
        <v>658</v>
      </c>
      <c r="D8" s="7" t="s">
        <v>674</v>
      </c>
      <c r="E8" s="7" t="s">
        <v>134</v>
      </c>
      <c r="F8" s="7" t="s">
        <v>675</v>
      </c>
      <c r="G8" s="7"/>
      <c r="H8" s="7" t="s">
        <v>667</v>
      </c>
      <c r="I8" s="7" t="s">
        <v>662</v>
      </c>
    </row>
    <row r="9" customFormat="false" ht="23.85" hidden="false" customHeight="false" outlineLevel="0" collapsed="false">
      <c r="A9" s="7" t="s">
        <v>676</v>
      </c>
      <c r="B9" s="7" t="s">
        <v>677</v>
      </c>
      <c r="C9" s="7" t="s">
        <v>658</v>
      </c>
      <c r="D9" s="7" t="s">
        <v>678</v>
      </c>
      <c r="E9" s="7" t="s">
        <v>134</v>
      </c>
      <c r="F9" s="7" t="s">
        <v>679</v>
      </c>
      <c r="G9" s="7"/>
      <c r="H9" s="7" t="s">
        <v>667</v>
      </c>
      <c r="I9" s="7" t="s">
        <v>662</v>
      </c>
    </row>
    <row r="10" customFormat="false" ht="23.85" hidden="false" customHeight="false" outlineLevel="0" collapsed="false">
      <c r="A10" s="7" t="s">
        <v>680</v>
      </c>
      <c r="B10" s="7" t="s">
        <v>550</v>
      </c>
      <c r="C10" s="7" t="s">
        <v>658</v>
      </c>
      <c r="D10" s="7" t="s">
        <v>681</v>
      </c>
      <c r="E10" s="7" t="s">
        <v>134</v>
      </c>
      <c r="F10" s="7" t="s">
        <v>549</v>
      </c>
      <c r="G10" s="7"/>
      <c r="H10" s="7" t="s">
        <v>661</v>
      </c>
      <c r="I10" s="7" t="s">
        <v>662</v>
      </c>
    </row>
    <row r="11" customFormat="false" ht="23.85" hidden="false" customHeight="false" outlineLevel="0" collapsed="false">
      <c r="A11" s="7" t="s">
        <v>682</v>
      </c>
      <c r="B11" s="7" t="s">
        <v>683</v>
      </c>
      <c r="C11" s="7" t="s">
        <v>658</v>
      </c>
      <c r="D11" s="7" t="s">
        <v>684</v>
      </c>
      <c r="E11" s="7" t="s">
        <v>134</v>
      </c>
      <c r="F11" s="7" t="s">
        <v>685</v>
      </c>
      <c r="G11" s="7"/>
      <c r="H11" s="7" t="s">
        <v>667</v>
      </c>
      <c r="I11" s="7" t="s">
        <v>662</v>
      </c>
    </row>
    <row r="12" customFormat="false" ht="23.85" hidden="false" customHeight="false" outlineLevel="0" collapsed="false">
      <c r="A12" s="7" t="s">
        <v>686</v>
      </c>
      <c r="B12" s="7" t="s">
        <v>687</v>
      </c>
      <c r="C12" s="7" t="s">
        <v>658</v>
      </c>
      <c r="D12" s="7" t="s">
        <v>688</v>
      </c>
      <c r="E12" s="7" t="s">
        <v>134</v>
      </c>
      <c r="F12" s="7" t="s">
        <v>689</v>
      </c>
      <c r="G12" s="7"/>
      <c r="H12" s="7" t="s">
        <v>667</v>
      </c>
      <c r="I12" s="7" t="s">
        <v>662</v>
      </c>
    </row>
    <row r="13" customFormat="false" ht="23.85" hidden="false" customHeight="false" outlineLevel="0" collapsed="false">
      <c r="A13" s="7" t="s">
        <v>690</v>
      </c>
      <c r="B13" s="7" t="s">
        <v>563</v>
      </c>
      <c r="C13" s="7" t="s">
        <v>691</v>
      </c>
      <c r="D13" s="7" t="s">
        <v>692</v>
      </c>
      <c r="E13" s="7" t="s">
        <v>133</v>
      </c>
      <c r="F13" s="7" t="s">
        <v>562</v>
      </c>
      <c r="G13" s="7" t="s">
        <v>693</v>
      </c>
      <c r="H13" s="7" t="s">
        <v>661</v>
      </c>
      <c r="I13" s="7" t="s">
        <v>662</v>
      </c>
    </row>
    <row r="14" customFormat="false" ht="23.85" hidden="false" customHeight="false" outlineLevel="0" collapsed="false">
      <c r="A14" s="7" t="s">
        <v>694</v>
      </c>
      <c r="B14" s="7" t="s">
        <v>695</v>
      </c>
      <c r="C14" s="7" t="s">
        <v>691</v>
      </c>
      <c r="D14" s="7" t="s">
        <v>696</v>
      </c>
      <c r="E14" s="7" t="s">
        <v>134</v>
      </c>
      <c r="F14" s="7" t="s">
        <v>697</v>
      </c>
      <c r="G14" s="7"/>
      <c r="H14" s="7" t="s">
        <v>667</v>
      </c>
      <c r="I14" s="7" t="s">
        <v>662</v>
      </c>
    </row>
    <row r="15" customFormat="false" ht="23.85" hidden="false" customHeight="false" outlineLevel="0" collapsed="false">
      <c r="A15" s="7" t="s">
        <v>698</v>
      </c>
      <c r="B15" s="7" t="s">
        <v>579</v>
      </c>
      <c r="C15" s="7" t="s">
        <v>699</v>
      </c>
      <c r="D15" s="7" t="s">
        <v>700</v>
      </c>
      <c r="E15" s="7" t="s">
        <v>133</v>
      </c>
      <c r="F15" s="7" t="s">
        <v>573</v>
      </c>
      <c r="G15" s="7" t="s">
        <v>701</v>
      </c>
      <c r="H15" s="7" t="s">
        <v>661</v>
      </c>
      <c r="I15" s="7" t="s">
        <v>662</v>
      </c>
    </row>
    <row r="16" customFormat="false" ht="23.85" hidden="false" customHeight="false" outlineLevel="0" collapsed="false">
      <c r="A16" s="7" t="s">
        <v>702</v>
      </c>
      <c r="B16" s="7" t="s">
        <v>703</v>
      </c>
      <c r="C16" s="7" t="s">
        <v>699</v>
      </c>
      <c r="D16" s="7" t="s">
        <v>704</v>
      </c>
      <c r="E16" s="7" t="s">
        <v>134</v>
      </c>
      <c r="F16" s="7" t="s">
        <v>705</v>
      </c>
      <c r="G16" s="7"/>
      <c r="H16" s="7" t="s">
        <v>667</v>
      </c>
      <c r="I16" s="7" t="s">
        <v>662</v>
      </c>
    </row>
    <row r="17" customFormat="false" ht="23.85" hidden="false" customHeight="false" outlineLevel="0" collapsed="false">
      <c r="A17" s="7" t="s">
        <v>706</v>
      </c>
      <c r="B17" s="7" t="s">
        <v>707</v>
      </c>
      <c r="C17" s="7" t="s">
        <v>699</v>
      </c>
      <c r="D17" s="7" t="s">
        <v>708</v>
      </c>
      <c r="E17" s="7" t="s">
        <v>134</v>
      </c>
      <c r="F17" s="7" t="s">
        <v>709</v>
      </c>
      <c r="G17" s="7"/>
      <c r="H17" s="7" t="s">
        <v>667</v>
      </c>
      <c r="I17" s="7" t="s">
        <v>662</v>
      </c>
    </row>
    <row r="18" customFormat="false" ht="23.85" hidden="false" customHeight="false" outlineLevel="0" collapsed="false">
      <c r="A18" s="7" t="s">
        <v>710</v>
      </c>
      <c r="B18" s="7" t="s">
        <v>711</v>
      </c>
      <c r="C18" s="7" t="s">
        <v>699</v>
      </c>
      <c r="D18" s="7" t="s">
        <v>712</v>
      </c>
      <c r="E18" s="7" t="s">
        <v>134</v>
      </c>
      <c r="F18" s="7" t="s">
        <v>713</v>
      </c>
      <c r="G18" s="7"/>
      <c r="H18" s="7" t="s">
        <v>667</v>
      </c>
      <c r="I18" s="7" t="s">
        <v>662</v>
      </c>
    </row>
    <row r="19" customFormat="false" ht="23.85" hidden="false" customHeight="false" outlineLevel="0" collapsed="false">
      <c r="A19" s="7" t="s">
        <v>714</v>
      </c>
      <c r="B19" s="7" t="s">
        <v>715</v>
      </c>
      <c r="C19" s="7" t="s">
        <v>699</v>
      </c>
      <c r="D19" s="7" t="s">
        <v>716</v>
      </c>
      <c r="E19" s="7" t="s">
        <v>134</v>
      </c>
      <c r="F19" s="7" t="s">
        <v>717</v>
      </c>
      <c r="G19" s="7"/>
      <c r="H19" s="7" t="s">
        <v>667</v>
      </c>
      <c r="I19" s="7" t="s">
        <v>662</v>
      </c>
    </row>
    <row r="20" customFormat="false" ht="23.85" hidden="false" customHeight="false" outlineLevel="0" collapsed="false">
      <c r="A20" s="7" t="s">
        <v>718</v>
      </c>
      <c r="B20" s="7" t="s">
        <v>588</v>
      </c>
      <c r="C20" s="7" t="s">
        <v>719</v>
      </c>
      <c r="D20" s="7" t="s">
        <v>720</v>
      </c>
      <c r="E20" s="7" t="s">
        <v>133</v>
      </c>
      <c r="F20" s="7" t="s">
        <v>582</v>
      </c>
      <c r="G20" s="7" t="s">
        <v>721</v>
      </c>
      <c r="H20" s="7" t="s">
        <v>661</v>
      </c>
      <c r="I20" s="7" t="s">
        <v>662</v>
      </c>
    </row>
    <row r="21" customFormat="false" ht="23.85" hidden="false" customHeight="false" outlineLevel="0" collapsed="false">
      <c r="A21" s="7" t="s">
        <v>722</v>
      </c>
      <c r="B21" s="7" t="s">
        <v>723</v>
      </c>
      <c r="C21" s="7" t="s">
        <v>719</v>
      </c>
      <c r="D21" s="7" t="s">
        <v>724</v>
      </c>
      <c r="E21" s="7" t="s">
        <v>134</v>
      </c>
      <c r="F21" s="7" t="s">
        <v>725</v>
      </c>
      <c r="G21" s="7"/>
      <c r="H21" s="7" t="s">
        <v>667</v>
      </c>
      <c r="I21" s="7" t="s">
        <v>662</v>
      </c>
    </row>
    <row r="22" customFormat="false" ht="23.85" hidden="false" customHeight="false" outlineLevel="0" collapsed="false">
      <c r="A22" s="7" t="s">
        <v>726</v>
      </c>
      <c r="B22" s="7" t="s">
        <v>727</v>
      </c>
      <c r="C22" s="7" t="s">
        <v>719</v>
      </c>
      <c r="D22" s="7" t="s">
        <v>728</v>
      </c>
      <c r="E22" s="7" t="s">
        <v>134</v>
      </c>
      <c r="F22" s="7" t="s">
        <v>729</v>
      </c>
      <c r="G22" s="7"/>
      <c r="H22" s="7" t="s">
        <v>667</v>
      </c>
      <c r="I22" s="7" t="s">
        <v>662</v>
      </c>
    </row>
    <row r="23" customFormat="false" ht="23.85" hidden="false" customHeight="false" outlineLevel="0" collapsed="false">
      <c r="A23" s="7" t="s">
        <v>730</v>
      </c>
      <c r="B23" s="7" t="s">
        <v>731</v>
      </c>
      <c r="C23" s="7" t="s">
        <v>719</v>
      </c>
      <c r="D23" s="7" t="s">
        <v>732</v>
      </c>
      <c r="E23" s="7" t="s">
        <v>134</v>
      </c>
      <c r="F23" s="7" t="s">
        <v>733</v>
      </c>
      <c r="G23" s="7"/>
      <c r="H23" s="7" t="s">
        <v>667</v>
      </c>
      <c r="I23" s="7" t="s">
        <v>662</v>
      </c>
    </row>
    <row r="24" customFormat="false" ht="23.85" hidden="false" customHeight="false" outlineLevel="0" collapsed="false">
      <c r="A24" s="7" t="s">
        <v>734</v>
      </c>
      <c r="B24" s="7" t="s">
        <v>735</v>
      </c>
      <c r="C24" s="7" t="s">
        <v>719</v>
      </c>
      <c r="D24" s="7" t="s">
        <v>736</v>
      </c>
      <c r="E24" s="7" t="s">
        <v>134</v>
      </c>
      <c r="F24" s="7"/>
      <c r="G24" s="7"/>
      <c r="H24" s="7" t="s">
        <v>667</v>
      </c>
      <c r="I24" s="7" t="s">
        <v>662</v>
      </c>
    </row>
    <row r="25" customFormat="false" ht="23.85" hidden="false" customHeight="false" outlineLevel="0" collapsed="false">
      <c r="A25" s="7" t="s">
        <v>737</v>
      </c>
      <c r="B25" s="7" t="s">
        <v>738</v>
      </c>
      <c r="C25" s="7" t="s">
        <v>719</v>
      </c>
      <c r="D25" s="7" t="s">
        <v>739</v>
      </c>
      <c r="E25" s="7" t="s">
        <v>134</v>
      </c>
      <c r="F25" s="7"/>
      <c r="G25" s="7"/>
      <c r="H25" s="7" t="s">
        <v>667</v>
      </c>
      <c r="I25" s="7" t="s">
        <v>662</v>
      </c>
    </row>
    <row r="26" customFormat="false" ht="23.85" hidden="false" customHeight="false" outlineLevel="0" collapsed="false">
      <c r="A26" s="7" t="s">
        <v>740</v>
      </c>
      <c r="B26" s="7" t="s">
        <v>741</v>
      </c>
      <c r="C26" s="7" t="s">
        <v>719</v>
      </c>
      <c r="D26" s="7" t="s">
        <v>742</v>
      </c>
      <c r="E26" s="7" t="s">
        <v>134</v>
      </c>
      <c r="F26" s="7" t="s">
        <v>743</v>
      </c>
      <c r="G26" s="7"/>
      <c r="H26" s="7" t="s">
        <v>667</v>
      </c>
      <c r="I26" s="7" t="s">
        <v>662</v>
      </c>
    </row>
    <row r="27" customFormat="false" ht="23.85" hidden="false" customHeight="false" outlineLevel="0" collapsed="false">
      <c r="A27" s="7" t="s">
        <v>744</v>
      </c>
      <c r="B27" s="7" t="s">
        <v>745</v>
      </c>
      <c r="C27" s="7" t="s">
        <v>719</v>
      </c>
      <c r="D27" s="7" t="s">
        <v>746</v>
      </c>
      <c r="E27" s="7" t="s">
        <v>134</v>
      </c>
      <c r="F27" s="7" t="s">
        <v>747</v>
      </c>
      <c r="G27" s="7"/>
      <c r="H27" s="7" t="s">
        <v>667</v>
      </c>
      <c r="I27" s="7" t="s">
        <v>662</v>
      </c>
    </row>
    <row r="28" customFormat="false" ht="23.85" hidden="false" customHeight="false" outlineLevel="0" collapsed="false">
      <c r="A28" s="7" t="s">
        <v>748</v>
      </c>
      <c r="B28" s="7" t="s">
        <v>749</v>
      </c>
      <c r="C28" s="7" t="s">
        <v>719</v>
      </c>
      <c r="D28" s="7" t="s">
        <v>750</v>
      </c>
      <c r="E28" s="7" t="s">
        <v>134</v>
      </c>
      <c r="F28" s="7" t="s">
        <v>751</v>
      </c>
      <c r="G28" s="7"/>
      <c r="H28" s="7" t="s">
        <v>667</v>
      </c>
      <c r="I28" s="7" t="s">
        <v>662</v>
      </c>
    </row>
    <row r="29" customFormat="false" ht="23.85" hidden="false" customHeight="false" outlineLevel="0" collapsed="false">
      <c r="A29" s="7" t="s">
        <v>752</v>
      </c>
      <c r="B29" s="7" t="s">
        <v>753</v>
      </c>
      <c r="C29" s="7" t="s">
        <v>719</v>
      </c>
      <c r="D29" s="7" t="s">
        <v>754</v>
      </c>
      <c r="E29" s="7" t="s">
        <v>134</v>
      </c>
      <c r="F29" s="7" t="s">
        <v>755</v>
      </c>
      <c r="G29" s="7"/>
      <c r="H29" s="7" t="s">
        <v>667</v>
      </c>
      <c r="I29" s="7" t="s">
        <v>662</v>
      </c>
    </row>
    <row r="30" customFormat="false" ht="23.85" hidden="false" customHeight="false" outlineLevel="0" collapsed="false">
      <c r="A30" s="7" t="s">
        <v>756</v>
      </c>
      <c r="B30" s="7" t="s">
        <v>642</v>
      </c>
      <c r="C30" s="7" t="s">
        <v>719</v>
      </c>
      <c r="D30" s="7" t="s">
        <v>757</v>
      </c>
      <c r="E30" s="7" t="s">
        <v>133</v>
      </c>
      <c r="F30" s="7" t="s">
        <v>637</v>
      </c>
      <c r="G30" s="7" t="s">
        <v>758</v>
      </c>
      <c r="H30" s="7" t="s">
        <v>661</v>
      </c>
      <c r="I30" s="7" t="s">
        <v>662</v>
      </c>
    </row>
    <row r="31" customFormat="false" ht="23.85" hidden="false" customHeight="false" outlineLevel="0" collapsed="false">
      <c r="A31" s="7" t="s">
        <v>759</v>
      </c>
      <c r="B31" s="7" t="s">
        <v>760</v>
      </c>
      <c r="C31" s="7" t="s">
        <v>719</v>
      </c>
      <c r="D31" s="7" t="s">
        <v>761</v>
      </c>
      <c r="E31" s="7" t="s">
        <v>134</v>
      </c>
      <c r="F31" s="7" t="s">
        <v>762</v>
      </c>
      <c r="G31" s="7"/>
      <c r="H31" s="7" t="s">
        <v>667</v>
      </c>
      <c r="I31" s="7" t="s">
        <v>662</v>
      </c>
    </row>
    <row r="32" customFormat="false" ht="23.85" hidden="false" customHeight="false" outlineLevel="0" collapsed="false">
      <c r="A32" s="7" t="s">
        <v>763</v>
      </c>
      <c r="B32" s="7" t="s">
        <v>764</v>
      </c>
      <c r="C32" s="7" t="s">
        <v>719</v>
      </c>
      <c r="D32" s="7" t="s">
        <v>765</v>
      </c>
      <c r="E32" s="7" t="s">
        <v>134</v>
      </c>
      <c r="F32" s="7" t="s">
        <v>766</v>
      </c>
      <c r="G32" s="7"/>
      <c r="H32" s="7" t="s">
        <v>667</v>
      </c>
      <c r="I32" s="7" t="s">
        <v>662</v>
      </c>
    </row>
    <row r="33" customFormat="false" ht="23.85" hidden="false" customHeight="false" outlineLevel="0" collapsed="false">
      <c r="A33" s="7" t="s">
        <v>767</v>
      </c>
      <c r="B33" s="7" t="s">
        <v>768</v>
      </c>
      <c r="C33" s="7" t="s">
        <v>719</v>
      </c>
      <c r="D33" s="7" t="s">
        <v>769</v>
      </c>
      <c r="E33" s="7" t="s">
        <v>134</v>
      </c>
      <c r="F33" s="7" t="s">
        <v>770</v>
      </c>
      <c r="G33" s="7"/>
      <c r="H33" s="7" t="s">
        <v>667</v>
      </c>
      <c r="I33" s="7" t="s">
        <v>662</v>
      </c>
    </row>
    <row r="34" customFormat="false" ht="23.85" hidden="false" customHeight="false" outlineLevel="0" collapsed="false">
      <c r="A34" s="7" t="s">
        <v>771</v>
      </c>
      <c r="B34" s="7" t="s">
        <v>772</v>
      </c>
      <c r="C34" s="7" t="s">
        <v>719</v>
      </c>
      <c r="D34" s="7" t="s">
        <v>773</v>
      </c>
      <c r="E34" s="7" t="s">
        <v>134</v>
      </c>
      <c r="F34" s="7" t="s">
        <v>774</v>
      </c>
      <c r="G34" s="7"/>
      <c r="H34" s="7" t="s">
        <v>667</v>
      </c>
      <c r="I34" s="7" t="s">
        <v>662</v>
      </c>
    </row>
    <row r="35" customFormat="false" ht="23.85" hidden="false" customHeight="false" outlineLevel="0" collapsed="false">
      <c r="A35" s="7" t="s">
        <v>775</v>
      </c>
      <c r="B35" s="7" t="s">
        <v>776</v>
      </c>
      <c r="C35" s="7" t="s">
        <v>719</v>
      </c>
      <c r="D35" s="7" t="s">
        <v>777</v>
      </c>
      <c r="E35" s="7" t="s">
        <v>134</v>
      </c>
      <c r="F35" s="7"/>
      <c r="G35" s="7"/>
      <c r="H35" s="7" t="s">
        <v>667</v>
      </c>
      <c r="I35" s="7" t="s">
        <v>662</v>
      </c>
    </row>
    <row r="36" customFormat="false" ht="23.85" hidden="false" customHeight="false" outlineLevel="0" collapsed="false">
      <c r="A36" s="7" t="s">
        <v>778</v>
      </c>
      <c r="B36" s="7" t="s">
        <v>779</v>
      </c>
      <c r="C36" s="7" t="s">
        <v>719</v>
      </c>
      <c r="D36" s="7" t="s">
        <v>780</v>
      </c>
      <c r="E36" s="7" t="s">
        <v>134</v>
      </c>
      <c r="F36" s="7" t="s">
        <v>781</v>
      </c>
      <c r="G36" s="7"/>
      <c r="H36" s="7" t="s">
        <v>667</v>
      </c>
      <c r="I36" s="7" t="s">
        <v>662</v>
      </c>
    </row>
    <row r="37" customFormat="false" ht="23.85" hidden="false" customHeight="false" outlineLevel="0" collapsed="false">
      <c r="A37" s="7" t="s">
        <v>782</v>
      </c>
      <c r="B37" s="7" t="s">
        <v>783</v>
      </c>
      <c r="C37" s="7" t="s">
        <v>719</v>
      </c>
      <c r="D37" s="7" t="s">
        <v>784</v>
      </c>
      <c r="E37" s="7" t="s">
        <v>134</v>
      </c>
      <c r="F37" s="7"/>
      <c r="G37" s="7"/>
      <c r="H37" s="7" t="s">
        <v>667</v>
      </c>
      <c r="I37" s="7" t="s">
        <v>662</v>
      </c>
    </row>
    <row r="38" customFormat="false" ht="23.85" hidden="false" customHeight="false" outlineLevel="0" collapsed="false">
      <c r="A38" s="7" t="s">
        <v>785</v>
      </c>
      <c r="B38" s="7" t="s">
        <v>786</v>
      </c>
      <c r="C38" s="7" t="s">
        <v>719</v>
      </c>
      <c r="D38" s="7" t="s">
        <v>787</v>
      </c>
      <c r="E38" s="7" t="s">
        <v>134</v>
      </c>
      <c r="F38" s="7"/>
      <c r="G38" s="7"/>
      <c r="H38" s="7" t="s">
        <v>667</v>
      </c>
      <c r="I38" s="7" t="s">
        <v>662</v>
      </c>
    </row>
    <row r="39" customFormat="false" ht="23.85" hidden="false" customHeight="false" outlineLevel="0" collapsed="false">
      <c r="A39" s="7" t="s">
        <v>788</v>
      </c>
      <c r="B39" s="7" t="s">
        <v>789</v>
      </c>
      <c r="C39" s="7" t="s">
        <v>719</v>
      </c>
      <c r="D39" s="7" t="s">
        <v>790</v>
      </c>
      <c r="E39" s="7" t="s">
        <v>134</v>
      </c>
      <c r="F39" s="7" t="s">
        <v>791</v>
      </c>
      <c r="G39" s="7"/>
      <c r="H39" s="7" t="s">
        <v>667</v>
      </c>
      <c r="I39" s="7" t="s">
        <v>662</v>
      </c>
    </row>
    <row r="40" customFormat="false" ht="23.85" hidden="false" customHeight="false" outlineLevel="0" collapsed="false">
      <c r="A40" s="7" t="s">
        <v>792</v>
      </c>
      <c r="B40" s="7" t="s">
        <v>599</v>
      </c>
      <c r="C40" s="7" t="s">
        <v>793</v>
      </c>
      <c r="D40" s="7" t="s">
        <v>794</v>
      </c>
      <c r="E40" s="7" t="s">
        <v>133</v>
      </c>
      <c r="F40" s="7" t="s">
        <v>592</v>
      </c>
      <c r="G40" s="7" t="s">
        <v>795</v>
      </c>
      <c r="H40" s="7" t="s">
        <v>661</v>
      </c>
      <c r="I40" s="7" t="s">
        <v>662</v>
      </c>
    </row>
    <row r="41" customFormat="false" ht="23.85" hidden="false" customHeight="false" outlineLevel="0" collapsed="false">
      <c r="A41" s="7" t="s">
        <v>796</v>
      </c>
      <c r="B41" s="7" t="s">
        <v>797</v>
      </c>
      <c r="C41" s="7" t="s">
        <v>793</v>
      </c>
      <c r="D41" s="7" t="s">
        <v>798</v>
      </c>
      <c r="E41" s="7" t="s">
        <v>134</v>
      </c>
      <c r="F41" s="7" t="s">
        <v>799</v>
      </c>
      <c r="G41" s="7"/>
      <c r="H41" s="7" t="s">
        <v>667</v>
      </c>
      <c r="I41" s="7" t="s">
        <v>662</v>
      </c>
    </row>
    <row r="42" customFormat="false" ht="23.85" hidden="false" customHeight="false" outlineLevel="0" collapsed="false">
      <c r="A42" s="7" t="s">
        <v>800</v>
      </c>
      <c r="B42" s="7" t="s">
        <v>801</v>
      </c>
      <c r="C42" s="7" t="s">
        <v>793</v>
      </c>
      <c r="D42" s="7" t="s">
        <v>802</v>
      </c>
      <c r="E42" s="7" t="s">
        <v>134</v>
      </c>
      <c r="F42" s="7" t="s">
        <v>803</v>
      </c>
      <c r="G42" s="7"/>
      <c r="H42" s="7" t="s">
        <v>667</v>
      </c>
      <c r="I42" s="7" t="s">
        <v>662</v>
      </c>
    </row>
    <row r="43" customFormat="false" ht="23.85" hidden="false" customHeight="false" outlineLevel="0" collapsed="false">
      <c r="A43" s="7" t="s">
        <v>804</v>
      </c>
      <c r="B43" s="7" t="s">
        <v>608</v>
      </c>
      <c r="C43" s="7" t="s">
        <v>793</v>
      </c>
      <c r="D43" s="7" t="s">
        <v>805</v>
      </c>
      <c r="E43" s="7" t="s">
        <v>133</v>
      </c>
      <c r="F43" s="7" t="s">
        <v>603</v>
      </c>
      <c r="G43" s="7" t="s">
        <v>806</v>
      </c>
      <c r="H43" s="7" t="s">
        <v>661</v>
      </c>
      <c r="I43" s="7" t="s">
        <v>662</v>
      </c>
    </row>
    <row r="44" customFormat="false" ht="23.85" hidden="false" customHeight="false" outlineLevel="0" collapsed="false">
      <c r="A44" s="7" t="s">
        <v>807</v>
      </c>
      <c r="B44" s="7" t="s">
        <v>808</v>
      </c>
      <c r="C44" s="7" t="s">
        <v>793</v>
      </c>
      <c r="D44" s="7" t="s">
        <v>809</v>
      </c>
      <c r="E44" s="7" t="s">
        <v>134</v>
      </c>
      <c r="F44" s="7" t="s">
        <v>810</v>
      </c>
      <c r="G44" s="7"/>
      <c r="H44" s="7" t="s">
        <v>667</v>
      </c>
      <c r="I44" s="7" t="s">
        <v>662</v>
      </c>
    </row>
    <row r="45" customFormat="false" ht="23.85" hidden="false" customHeight="false" outlineLevel="0" collapsed="false">
      <c r="A45" s="7" t="s">
        <v>811</v>
      </c>
      <c r="B45" s="7" t="s">
        <v>812</v>
      </c>
      <c r="C45" s="7" t="s">
        <v>793</v>
      </c>
      <c r="D45" s="7" t="s">
        <v>813</v>
      </c>
      <c r="E45" s="7" t="s">
        <v>134</v>
      </c>
      <c r="F45" s="7" t="s">
        <v>814</v>
      </c>
      <c r="G45" s="7"/>
      <c r="H45" s="7" t="s">
        <v>667</v>
      </c>
      <c r="I45" s="7" t="s">
        <v>662</v>
      </c>
    </row>
    <row r="46" customFormat="false" ht="23.85" hidden="false" customHeight="false" outlineLevel="0" collapsed="false">
      <c r="A46" s="7" t="s">
        <v>815</v>
      </c>
      <c r="B46" s="7" t="s">
        <v>816</v>
      </c>
      <c r="C46" s="7" t="s">
        <v>793</v>
      </c>
      <c r="D46" s="7" t="s">
        <v>817</v>
      </c>
      <c r="E46" s="7" t="s">
        <v>134</v>
      </c>
      <c r="F46" s="7" t="s">
        <v>818</v>
      </c>
      <c r="G46" s="7"/>
      <c r="H46" s="7" t="s">
        <v>667</v>
      </c>
      <c r="I46" s="7" t="s">
        <v>662</v>
      </c>
    </row>
    <row r="47" customFormat="false" ht="23.85" hidden="false" customHeight="false" outlineLevel="0" collapsed="false">
      <c r="A47" s="7" t="s">
        <v>819</v>
      </c>
      <c r="B47" s="7" t="s">
        <v>820</v>
      </c>
      <c r="C47" s="7" t="s">
        <v>821</v>
      </c>
      <c r="D47" s="7" t="s">
        <v>822</v>
      </c>
      <c r="E47" s="7" t="s">
        <v>134</v>
      </c>
      <c r="F47" s="7" t="s">
        <v>823</v>
      </c>
      <c r="G47" s="7"/>
      <c r="H47" s="7" t="s">
        <v>667</v>
      </c>
      <c r="I47" s="7" t="s">
        <v>662</v>
      </c>
    </row>
    <row r="48" customFormat="false" ht="23.85" hidden="false" customHeight="false" outlineLevel="0" collapsed="false">
      <c r="A48" s="7" t="s">
        <v>824</v>
      </c>
      <c r="B48" s="7" t="s">
        <v>825</v>
      </c>
      <c r="C48" s="7" t="s">
        <v>821</v>
      </c>
      <c r="D48" s="7" t="s">
        <v>826</v>
      </c>
      <c r="E48" s="7" t="s">
        <v>134</v>
      </c>
      <c r="F48" s="7" t="s">
        <v>827</v>
      </c>
      <c r="G48" s="7"/>
      <c r="H48" s="7" t="s">
        <v>667</v>
      </c>
      <c r="I48" s="7" t="s">
        <v>662</v>
      </c>
    </row>
    <row r="49" customFormat="false" ht="23.85" hidden="false" customHeight="false" outlineLevel="0" collapsed="false">
      <c r="A49" s="7" t="s">
        <v>828</v>
      </c>
      <c r="B49" s="7" t="s">
        <v>829</v>
      </c>
      <c r="C49" s="7" t="s">
        <v>821</v>
      </c>
      <c r="D49" s="7" t="s">
        <v>830</v>
      </c>
      <c r="E49" s="7" t="s">
        <v>134</v>
      </c>
      <c r="F49" s="7" t="s">
        <v>831</v>
      </c>
      <c r="G49" s="7"/>
      <c r="H49" s="7" t="s">
        <v>667</v>
      </c>
      <c r="I49" s="7" t="s">
        <v>662</v>
      </c>
    </row>
    <row r="50" customFormat="false" ht="23.85" hidden="false" customHeight="false" outlineLevel="0" collapsed="false">
      <c r="A50" s="7" t="s">
        <v>832</v>
      </c>
      <c r="B50" s="7" t="s">
        <v>833</v>
      </c>
      <c r="C50" s="7" t="s">
        <v>834</v>
      </c>
      <c r="D50" s="7" t="s">
        <v>835</v>
      </c>
      <c r="E50" s="7" t="s">
        <v>134</v>
      </c>
      <c r="F50" s="7" t="s">
        <v>836</v>
      </c>
      <c r="G50" s="7"/>
      <c r="H50" s="7" t="s">
        <v>667</v>
      </c>
      <c r="I50" s="7" t="s">
        <v>662</v>
      </c>
    </row>
    <row r="51" customFormat="false" ht="23.85" hidden="false" customHeight="false" outlineLevel="0" collapsed="false">
      <c r="A51" s="7" t="s">
        <v>837</v>
      </c>
      <c r="B51" s="7" t="s">
        <v>838</v>
      </c>
      <c r="C51" s="7" t="s">
        <v>834</v>
      </c>
      <c r="D51" s="7" t="s">
        <v>839</v>
      </c>
      <c r="E51" s="7" t="s">
        <v>134</v>
      </c>
      <c r="F51" s="7"/>
      <c r="G51" s="7"/>
      <c r="H51" s="7" t="s">
        <v>667</v>
      </c>
      <c r="I51" s="7" t="s">
        <v>662</v>
      </c>
    </row>
    <row r="52" customFormat="false" ht="23.85" hidden="false" customHeight="false" outlineLevel="0" collapsed="false">
      <c r="A52" s="7" t="s">
        <v>840</v>
      </c>
      <c r="B52" s="7" t="s">
        <v>841</v>
      </c>
      <c r="C52" s="7" t="s">
        <v>834</v>
      </c>
      <c r="D52" s="7" t="s">
        <v>842</v>
      </c>
      <c r="E52" s="7" t="s">
        <v>134</v>
      </c>
      <c r="F52" s="7" t="s">
        <v>843</v>
      </c>
      <c r="G52" s="7"/>
      <c r="H52" s="7" t="s">
        <v>667</v>
      </c>
      <c r="I52" s="7" t="s">
        <v>662</v>
      </c>
    </row>
    <row r="53" customFormat="false" ht="23.85" hidden="false" customHeight="false" outlineLevel="0" collapsed="false">
      <c r="A53" s="7" t="s">
        <v>844</v>
      </c>
      <c r="B53" s="7" t="s">
        <v>845</v>
      </c>
      <c r="C53" s="7" t="s">
        <v>834</v>
      </c>
      <c r="D53" s="7" t="s">
        <v>846</v>
      </c>
      <c r="E53" s="7" t="s">
        <v>134</v>
      </c>
      <c r="F53" s="7" t="s">
        <v>847</v>
      </c>
      <c r="G53" s="7"/>
      <c r="H53" s="7" t="s">
        <v>667</v>
      </c>
      <c r="I53" s="7" t="s">
        <v>662</v>
      </c>
    </row>
    <row r="54" customFormat="false" ht="23.85" hidden="false" customHeight="false" outlineLevel="0" collapsed="false">
      <c r="A54" s="7" t="s">
        <v>848</v>
      </c>
      <c r="B54" s="7" t="s">
        <v>849</v>
      </c>
      <c r="C54" s="7" t="s">
        <v>834</v>
      </c>
      <c r="D54" s="7" t="s">
        <v>850</v>
      </c>
      <c r="E54" s="7" t="s">
        <v>134</v>
      </c>
      <c r="F54" s="7"/>
      <c r="G54" s="7"/>
      <c r="H54" s="7" t="s">
        <v>667</v>
      </c>
      <c r="I54" s="7" t="s">
        <v>662</v>
      </c>
    </row>
    <row r="55" customFormat="false" ht="23.85" hidden="false" customHeight="false" outlineLevel="0" collapsed="false">
      <c r="A55" s="7" t="s">
        <v>851</v>
      </c>
      <c r="B55" s="7" t="s">
        <v>852</v>
      </c>
      <c r="C55" s="7" t="s">
        <v>834</v>
      </c>
      <c r="D55" s="7" t="s">
        <v>853</v>
      </c>
      <c r="E55" s="7" t="s">
        <v>134</v>
      </c>
      <c r="F55" s="7" t="s">
        <v>854</v>
      </c>
      <c r="G55" s="7"/>
      <c r="H55" s="7" t="s">
        <v>667</v>
      </c>
      <c r="I55" s="7" t="s">
        <v>662</v>
      </c>
    </row>
    <row r="56" customFormat="false" ht="23.85" hidden="false" customHeight="false" outlineLevel="0" collapsed="false">
      <c r="A56" s="7" t="s">
        <v>855</v>
      </c>
      <c r="B56" s="7" t="s">
        <v>856</v>
      </c>
      <c r="C56" s="7" t="s">
        <v>834</v>
      </c>
      <c r="D56" s="7" t="s">
        <v>857</v>
      </c>
      <c r="E56" s="7" t="s">
        <v>134</v>
      </c>
      <c r="F56" s="7" t="s">
        <v>858</v>
      </c>
      <c r="G56" s="7"/>
      <c r="H56" s="7" t="s">
        <v>667</v>
      </c>
      <c r="I56" s="7" t="s">
        <v>662</v>
      </c>
    </row>
    <row r="57" customFormat="false" ht="23.85" hidden="false" customHeight="false" outlineLevel="0" collapsed="false">
      <c r="A57" s="7" t="s">
        <v>859</v>
      </c>
      <c r="B57" s="7" t="s">
        <v>617</v>
      </c>
      <c r="C57" s="7" t="s">
        <v>860</v>
      </c>
      <c r="D57" s="7" t="s">
        <v>861</v>
      </c>
      <c r="E57" s="7" t="s">
        <v>133</v>
      </c>
      <c r="F57" s="7" t="s">
        <v>611</v>
      </c>
      <c r="G57" s="7" t="s">
        <v>862</v>
      </c>
      <c r="H57" s="7" t="s">
        <v>661</v>
      </c>
      <c r="I57" s="7" t="s">
        <v>662</v>
      </c>
    </row>
    <row r="58" customFormat="false" ht="23.85" hidden="false" customHeight="false" outlineLevel="0" collapsed="false">
      <c r="A58" s="7" t="s">
        <v>863</v>
      </c>
      <c r="B58" s="7" t="s">
        <v>864</v>
      </c>
      <c r="C58" s="7" t="s">
        <v>860</v>
      </c>
      <c r="D58" s="7" t="s">
        <v>865</v>
      </c>
      <c r="E58" s="7" t="s">
        <v>134</v>
      </c>
      <c r="F58" s="7" t="s">
        <v>866</v>
      </c>
      <c r="G58" s="7"/>
      <c r="H58" s="7" t="s">
        <v>667</v>
      </c>
      <c r="I58" s="7" t="s">
        <v>662</v>
      </c>
    </row>
    <row r="59" customFormat="false" ht="23.85" hidden="false" customHeight="false" outlineLevel="0" collapsed="false">
      <c r="A59" s="7" t="s">
        <v>867</v>
      </c>
      <c r="B59" s="7" t="s">
        <v>868</v>
      </c>
      <c r="C59" s="7" t="s">
        <v>860</v>
      </c>
      <c r="D59" s="7" t="s">
        <v>869</v>
      </c>
      <c r="E59" s="7" t="s">
        <v>134</v>
      </c>
      <c r="F59" s="7" t="s">
        <v>870</v>
      </c>
      <c r="G59" s="7"/>
      <c r="H59" s="7" t="s">
        <v>667</v>
      </c>
      <c r="I59" s="7" t="s">
        <v>662</v>
      </c>
    </row>
    <row r="60" customFormat="false" ht="23.85" hidden="false" customHeight="false" outlineLevel="0" collapsed="false">
      <c r="A60" s="7" t="s">
        <v>871</v>
      </c>
      <c r="B60" s="7" t="s">
        <v>872</v>
      </c>
      <c r="C60" s="7" t="s">
        <v>860</v>
      </c>
      <c r="D60" s="7" t="s">
        <v>873</v>
      </c>
      <c r="E60" s="7" t="s">
        <v>134</v>
      </c>
      <c r="F60" s="7" t="s">
        <v>874</v>
      </c>
      <c r="G60" s="7"/>
      <c r="H60" s="7" t="s">
        <v>667</v>
      </c>
      <c r="I60" s="7" t="s">
        <v>662</v>
      </c>
    </row>
    <row r="61" customFormat="false" ht="23.85" hidden="false" customHeight="false" outlineLevel="0" collapsed="false">
      <c r="A61" s="7" t="s">
        <v>875</v>
      </c>
      <c r="B61" s="7" t="s">
        <v>876</v>
      </c>
      <c r="C61" s="7" t="s">
        <v>860</v>
      </c>
      <c r="D61" s="7" t="s">
        <v>877</v>
      </c>
      <c r="E61" s="7" t="s">
        <v>134</v>
      </c>
      <c r="F61" s="7" t="s">
        <v>878</v>
      </c>
      <c r="G61" s="7"/>
      <c r="H61" s="7" t="s">
        <v>667</v>
      </c>
      <c r="I61" s="7" t="s">
        <v>662</v>
      </c>
    </row>
    <row r="62" customFormat="false" ht="23.85" hidden="false" customHeight="false" outlineLevel="0" collapsed="false">
      <c r="A62" s="7" t="s">
        <v>879</v>
      </c>
      <c r="B62" s="7" t="s">
        <v>880</v>
      </c>
      <c r="C62" s="7" t="s">
        <v>860</v>
      </c>
      <c r="D62" s="7" t="s">
        <v>881</v>
      </c>
      <c r="E62" s="7" t="s">
        <v>134</v>
      </c>
      <c r="F62" s="7" t="s">
        <v>882</v>
      </c>
      <c r="G62" s="7"/>
      <c r="H62" s="7" t="s">
        <v>667</v>
      </c>
      <c r="I62" s="7" t="s">
        <v>662</v>
      </c>
    </row>
    <row r="63" customFormat="false" ht="23.85" hidden="false" customHeight="false" outlineLevel="0" collapsed="false">
      <c r="A63" s="7" t="s">
        <v>883</v>
      </c>
      <c r="B63" s="7" t="s">
        <v>884</v>
      </c>
      <c r="C63" s="7" t="s">
        <v>860</v>
      </c>
      <c r="D63" s="7" t="s">
        <v>885</v>
      </c>
      <c r="E63" s="7" t="s">
        <v>134</v>
      </c>
      <c r="F63" s="7" t="s">
        <v>886</v>
      </c>
      <c r="G63" s="7"/>
      <c r="H63" s="7" t="s">
        <v>667</v>
      </c>
      <c r="I63" s="7" t="s">
        <v>662</v>
      </c>
    </row>
    <row r="64" customFormat="false" ht="23.85" hidden="false" customHeight="false" outlineLevel="0" collapsed="false">
      <c r="A64" s="7" t="s">
        <v>887</v>
      </c>
      <c r="B64" s="7" t="s">
        <v>888</v>
      </c>
      <c r="C64" s="7" t="s">
        <v>860</v>
      </c>
      <c r="D64" s="7" t="s">
        <v>889</v>
      </c>
      <c r="E64" s="7" t="s">
        <v>134</v>
      </c>
      <c r="F64" s="7" t="s">
        <v>890</v>
      </c>
      <c r="G64" s="7"/>
      <c r="H64" s="7" t="s">
        <v>667</v>
      </c>
      <c r="I64" s="7" t="s">
        <v>662</v>
      </c>
    </row>
    <row r="65" customFormat="false" ht="23.85" hidden="false" customHeight="false" outlineLevel="0" collapsed="false">
      <c r="A65" s="7" t="s">
        <v>891</v>
      </c>
      <c r="B65" s="7" t="s">
        <v>892</v>
      </c>
      <c r="C65" s="7" t="s">
        <v>860</v>
      </c>
      <c r="D65" s="7" t="s">
        <v>893</v>
      </c>
      <c r="E65" s="7" t="s">
        <v>134</v>
      </c>
      <c r="F65" s="7" t="s">
        <v>894</v>
      </c>
      <c r="G65" s="7"/>
      <c r="H65" s="7" t="s">
        <v>667</v>
      </c>
      <c r="I65" s="7" t="s">
        <v>662</v>
      </c>
    </row>
    <row r="66" customFormat="false" ht="23.85" hidden="false" customHeight="false" outlineLevel="0" collapsed="false">
      <c r="A66" s="7" t="s">
        <v>895</v>
      </c>
      <c r="B66" s="7" t="s">
        <v>896</v>
      </c>
      <c r="C66" s="7" t="s">
        <v>860</v>
      </c>
      <c r="D66" s="7" t="s">
        <v>897</v>
      </c>
      <c r="E66" s="7" t="s">
        <v>134</v>
      </c>
      <c r="F66" s="7" t="s">
        <v>898</v>
      </c>
      <c r="G66" s="7"/>
      <c r="H66" s="7" t="s">
        <v>667</v>
      </c>
      <c r="I66" s="7" t="s">
        <v>662</v>
      </c>
    </row>
    <row r="67" customFormat="false" ht="23.85" hidden="false" customHeight="false" outlineLevel="0" collapsed="false">
      <c r="A67" s="7" t="s">
        <v>899</v>
      </c>
      <c r="B67" s="7" t="s">
        <v>900</v>
      </c>
      <c r="C67" s="7" t="s">
        <v>860</v>
      </c>
      <c r="D67" s="7" t="s">
        <v>901</v>
      </c>
      <c r="E67" s="7" t="s">
        <v>134</v>
      </c>
      <c r="F67" s="7" t="s">
        <v>902</v>
      </c>
      <c r="G67" s="7"/>
      <c r="H67" s="7" t="s">
        <v>667</v>
      </c>
      <c r="I67" s="7" t="s">
        <v>662</v>
      </c>
    </row>
    <row r="68" customFormat="false" ht="23.85" hidden="false" customHeight="false" outlineLevel="0" collapsed="false">
      <c r="A68" s="7" t="s">
        <v>903</v>
      </c>
      <c r="B68" s="7" t="s">
        <v>904</v>
      </c>
      <c r="C68" s="7" t="s">
        <v>905</v>
      </c>
      <c r="D68" s="7" t="s">
        <v>906</v>
      </c>
      <c r="E68" s="7" t="s">
        <v>134</v>
      </c>
      <c r="F68" s="7" t="s">
        <v>907</v>
      </c>
      <c r="G68" s="7"/>
      <c r="H68" s="7" t="s">
        <v>667</v>
      </c>
      <c r="I68" s="7" t="s">
        <v>662</v>
      </c>
    </row>
    <row r="69" customFormat="false" ht="23.85" hidden="false" customHeight="false" outlineLevel="0" collapsed="false">
      <c r="A69" s="7" t="s">
        <v>908</v>
      </c>
      <c r="B69" s="7" t="s">
        <v>909</v>
      </c>
      <c r="C69" s="7" t="s">
        <v>905</v>
      </c>
      <c r="D69" s="7" t="s">
        <v>910</v>
      </c>
      <c r="E69" s="7" t="s">
        <v>134</v>
      </c>
      <c r="F69" s="7" t="s">
        <v>911</v>
      </c>
      <c r="G69" s="7"/>
      <c r="H69" s="7" t="s">
        <v>667</v>
      </c>
      <c r="I69" s="7" t="s">
        <v>662</v>
      </c>
    </row>
    <row r="70" customFormat="false" ht="23.85" hidden="false" customHeight="false" outlineLevel="0" collapsed="false">
      <c r="A70" s="7" t="s">
        <v>912</v>
      </c>
      <c r="B70" s="7" t="s">
        <v>913</v>
      </c>
      <c r="C70" s="7" t="s">
        <v>905</v>
      </c>
      <c r="D70" s="7" t="s">
        <v>914</v>
      </c>
      <c r="E70" s="7" t="s">
        <v>134</v>
      </c>
      <c r="F70" s="7" t="s">
        <v>915</v>
      </c>
      <c r="G70" s="7"/>
      <c r="H70" s="7" t="s">
        <v>667</v>
      </c>
      <c r="I70" s="7" t="s">
        <v>662</v>
      </c>
    </row>
    <row r="71" customFormat="false" ht="23.85" hidden="false" customHeight="false" outlineLevel="0" collapsed="false">
      <c r="A71" s="7" t="s">
        <v>916</v>
      </c>
      <c r="B71" s="7" t="s">
        <v>917</v>
      </c>
      <c r="C71" s="7" t="s">
        <v>905</v>
      </c>
      <c r="D71" s="7" t="s">
        <v>918</v>
      </c>
      <c r="E71" s="7" t="s">
        <v>134</v>
      </c>
      <c r="F71" s="7" t="s">
        <v>919</v>
      </c>
      <c r="G71" s="7"/>
      <c r="H71" s="7" t="s">
        <v>667</v>
      </c>
      <c r="I71" s="7" t="s">
        <v>662</v>
      </c>
    </row>
    <row r="72" customFormat="false" ht="23.85" hidden="false" customHeight="false" outlineLevel="0" collapsed="false">
      <c r="A72" s="7" t="s">
        <v>920</v>
      </c>
      <c r="B72" s="7" t="s">
        <v>921</v>
      </c>
      <c r="C72" s="7" t="s">
        <v>905</v>
      </c>
      <c r="D72" s="7" t="s">
        <v>922</v>
      </c>
      <c r="E72" s="7" t="s">
        <v>134</v>
      </c>
      <c r="F72" s="7" t="s">
        <v>923</v>
      </c>
      <c r="G72" s="7"/>
      <c r="H72" s="7" t="s">
        <v>667</v>
      </c>
      <c r="I72" s="7" t="s">
        <v>662</v>
      </c>
    </row>
    <row r="73" customFormat="false" ht="23.85" hidden="false" customHeight="false" outlineLevel="0" collapsed="false">
      <c r="A73" s="7" t="s">
        <v>924</v>
      </c>
      <c r="B73" s="7" t="s">
        <v>635</v>
      </c>
      <c r="C73" s="7" t="s">
        <v>925</v>
      </c>
      <c r="D73" s="7" t="s">
        <v>926</v>
      </c>
      <c r="E73" s="7" t="s">
        <v>133</v>
      </c>
      <c r="F73" s="7" t="s">
        <v>630</v>
      </c>
      <c r="G73" s="7" t="s">
        <v>927</v>
      </c>
      <c r="H73" s="7" t="s">
        <v>661</v>
      </c>
      <c r="I73" s="7" t="s">
        <v>662</v>
      </c>
    </row>
    <row r="74" customFormat="false" ht="23.85" hidden="false" customHeight="false" outlineLevel="0" collapsed="false">
      <c r="A74" s="7" t="s">
        <v>928</v>
      </c>
      <c r="B74" s="7" t="s">
        <v>929</v>
      </c>
      <c r="C74" s="7" t="s">
        <v>925</v>
      </c>
      <c r="D74" s="7" t="s">
        <v>930</v>
      </c>
      <c r="E74" s="7" t="s">
        <v>134</v>
      </c>
      <c r="F74" s="7" t="s">
        <v>931</v>
      </c>
      <c r="G74" s="7"/>
      <c r="H74" s="7" t="s">
        <v>667</v>
      </c>
      <c r="I74" s="7" t="s">
        <v>662</v>
      </c>
    </row>
    <row r="75" customFormat="false" ht="23.85" hidden="false" customHeight="false" outlineLevel="0" collapsed="false">
      <c r="A75" s="7" t="s">
        <v>932</v>
      </c>
      <c r="B75" s="7" t="s">
        <v>933</v>
      </c>
      <c r="C75" s="7" t="s">
        <v>925</v>
      </c>
      <c r="D75" s="7" t="s">
        <v>934</v>
      </c>
      <c r="E75" s="7" t="s">
        <v>134</v>
      </c>
      <c r="F75" s="7" t="s">
        <v>935</v>
      </c>
      <c r="G75" s="7"/>
      <c r="H75" s="7" t="s">
        <v>667</v>
      </c>
      <c r="I75" s="7" t="s">
        <v>662</v>
      </c>
    </row>
    <row r="76" customFormat="false" ht="23.85" hidden="false" customHeight="false" outlineLevel="0" collapsed="false">
      <c r="A76" s="7" t="s">
        <v>936</v>
      </c>
      <c r="B76" s="7" t="s">
        <v>612</v>
      </c>
      <c r="C76" s="7" t="s">
        <v>925</v>
      </c>
      <c r="D76" s="7" t="s">
        <v>937</v>
      </c>
      <c r="E76" s="7" t="s">
        <v>133</v>
      </c>
      <c r="F76" s="7" t="s">
        <v>621</v>
      </c>
      <c r="G76" s="7" t="s">
        <v>938</v>
      </c>
      <c r="H76" s="7" t="s">
        <v>661</v>
      </c>
      <c r="I76" s="7" t="s">
        <v>662</v>
      </c>
    </row>
    <row r="77" customFormat="false" ht="23.85" hidden="false" customHeight="false" outlineLevel="0" collapsed="false">
      <c r="A77" s="7" t="s">
        <v>939</v>
      </c>
      <c r="B77" s="7" t="s">
        <v>940</v>
      </c>
      <c r="C77" s="7" t="s">
        <v>925</v>
      </c>
      <c r="D77" s="7" t="s">
        <v>941</v>
      </c>
      <c r="E77" s="7" t="s">
        <v>134</v>
      </c>
      <c r="F77" s="7" t="s">
        <v>942</v>
      </c>
      <c r="G77" s="7"/>
      <c r="H77" s="7" t="s">
        <v>667</v>
      </c>
      <c r="I77" s="7" t="s">
        <v>662</v>
      </c>
    </row>
    <row r="78" customFormat="false" ht="23.85" hidden="false" customHeight="false" outlineLevel="0" collapsed="false">
      <c r="A78" s="7" t="s">
        <v>943</v>
      </c>
      <c r="B78" s="7" t="s">
        <v>944</v>
      </c>
      <c r="C78" s="7" t="s">
        <v>925</v>
      </c>
      <c r="D78" s="7" t="s">
        <v>945</v>
      </c>
      <c r="E78" s="7" t="s">
        <v>134</v>
      </c>
      <c r="F78" s="7" t="s">
        <v>946</v>
      </c>
      <c r="G78" s="7"/>
      <c r="H78" s="7" t="s">
        <v>667</v>
      </c>
      <c r="I78" s="7" t="s">
        <v>662</v>
      </c>
    </row>
    <row r="79" customFormat="false" ht="23.85" hidden="false" customHeight="false" outlineLevel="0" collapsed="false">
      <c r="A79" s="7" t="s">
        <v>947</v>
      </c>
      <c r="B79" s="7" t="s">
        <v>948</v>
      </c>
      <c r="C79" s="7" t="s">
        <v>925</v>
      </c>
      <c r="D79" s="7" t="s">
        <v>949</v>
      </c>
      <c r="E79" s="7" t="s">
        <v>134</v>
      </c>
      <c r="F79" s="7" t="s">
        <v>950</v>
      </c>
      <c r="G79" s="7"/>
      <c r="H79" s="7" t="s">
        <v>667</v>
      </c>
      <c r="I79" s="7" t="s">
        <v>662</v>
      </c>
    </row>
    <row r="80" customFormat="false" ht="23.85" hidden="false" customHeight="false" outlineLevel="0" collapsed="false">
      <c r="A80" s="7" t="s">
        <v>951</v>
      </c>
      <c r="B80" s="7" t="s">
        <v>952</v>
      </c>
      <c r="C80" s="7" t="s">
        <v>925</v>
      </c>
      <c r="D80" s="7" t="s">
        <v>953</v>
      </c>
      <c r="E80" s="7" t="s">
        <v>134</v>
      </c>
      <c r="F80" s="7" t="s">
        <v>954</v>
      </c>
      <c r="G80" s="7"/>
      <c r="H80" s="7" t="s">
        <v>667</v>
      </c>
      <c r="I80" s="7" t="s">
        <v>662</v>
      </c>
    </row>
    <row r="81" customFormat="false" ht="23.85" hidden="false" customHeight="false" outlineLevel="0" collapsed="false">
      <c r="A81" s="7" t="s">
        <v>955</v>
      </c>
      <c r="B81" s="7" t="s">
        <v>956</v>
      </c>
      <c r="C81" s="7" t="s">
        <v>925</v>
      </c>
      <c r="D81" s="7" t="s">
        <v>957</v>
      </c>
      <c r="E81" s="7" t="s">
        <v>134</v>
      </c>
      <c r="F81" s="7" t="s">
        <v>958</v>
      </c>
      <c r="G81" s="7"/>
      <c r="H81" s="7" t="s">
        <v>667</v>
      </c>
      <c r="I81" s="7" t="s">
        <v>662</v>
      </c>
    </row>
    <row r="82" customFormat="false" ht="23.85" hidden="false" customHeight="false" outlineLevel="0" collapsed="false">
      <c r="A82" s="7" t="s">
        <v>959</v>
      </c>
      <c r="B82" s="7" t="s">
        <v>960</v>
      </c>
      <c r="C82" s="7" t="s">
        <v>925</v>
      </c>
      <c r="D82" s="7" t="s">
        <v>961</v>
      </c>
      <c r="E82" s="7" t="s">
        <v>134</v>
      </c>
      <c r="F82" s="7" t="s">
        <v>958</v>
      </c>
      <c r="G82" s="7"/>
      <c r="H82" s="7" t="s">
        <v>667</v>
      </c>
      <c r="I82" s="7" t="s">
        <v>662</v>
      </c>
    </row>
    <row r="83" customFormat="false" ht="23.85" hidden="false" customHeight="false" outlineLevel="0" collapsed="false">
      <c r="A83" s="7" t="s">
        <v>962</v>
      </c>
      <c r="B83" s="7" t="s">
        <v>963</v>
      </c>
      <c r="C83" s="7" t="s">
        <v>925</v>
      </c>
      <c r="D83" s="7" t="s">
        <v>964</v>
      </c>
      <c r="E83" s="7" t="s">
        <v>134</v>
      </c>
      <c r="F83" s="7" t="s">
        <v>965</v>
      </c>
      <c r="G83" s="7"/>
      <c r="H83" s="7" t="s">
        <v>667</v>
      </c>
      <c r="I83" s="7" t="s">
        <v>662</v>
      </c>
    </row>
    <row r="84" customFormat="false" ht="23.85" hidden="false" customHeight="false" outlineLevel="0" collapsed="false">
      <c r="A84" s="7" t="s">
        <v>966</v>
      </c>
      <c r="B84" s="7" t="s">
        <v>967</v>
      </c>
      <c r="C84" s="7" t="s">
        <v>925</v>
      </c>
      <c r="D84" s="7" t="s">
        <v>968</v>
      </c>
      <c r="E84" s="7" t="s">
        <v>134</v>
      </c>
      <c r="F84" s="7" t="s">
        <v>969</v>
      </c>
      <c r="G84" s="7"/>
      <c r="H84" s="7" t="s">
        <v>667</v>
      </c>
      <c r="I84" s="7" t="s">
        <v>662</v>
      </c>
    </row>
    <row r="86" customFormat="false" ht="15" hidden="false" customHeight="false" outlineLevel="0" collapsed="false">
      <c r="D86" s="11" t="s">
        <v>970</v>
      </c>
      <c r="E86" s="11" t="n">
        <f aca="false">COUNTA(A5:A84)</f>
        <v>80</v>
      </c>
      <c r="H86" s="11" t="n">
        <f aca="false">COUNTIF(H5:H84,"Complemento")</f>
        <v>69</v>
      </c>
    </row>
    <row r="87" customFormat="false" ht="15" hidden="false" customHeight="false" outlineLevel="0" collapsed="false">
      <c r="H87" s="11" t="n">
        <f aca="false">COUNTIF(H5:H84,"Reaproveitável*")</f>
        <v>11</v>
      </c>
    </row>
  </sheetData>
  <autoFilter ref="A4:I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CAD"/>
    <pageSetUpPr fitToPage="false"/>
  </sheetPr>
  <dimension ref="A1:G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0"/>
    <col collapsed="false" customWidth="true" hidden="false" outlineLevel="0" max="4" min="4" style="0" width="80"/>
    <col collapsed="false" customWidth="true" hidden="false" outlineLevel="0" max="5" min="5" style="0" width="24"/>
    <col collapsed="false" customWidth="true" hidden="false" outlineLevel="0" max="6" min="6" style="0" width="20"/>
    <col collapsed="false" customWidth="true" hidden="false" outlineLevel="0" max="7" min="7" style="0" width="44"/>
  </cols>
  <sheetData>
    <row r="1" customFormat="false" ht="17.35" hidden="false" customHeight="false" outlineLevel="0" collapsed="false">
      <c r="A1" s="1" t="s">
        <v>971</v>
      </c>
    </row>
    <row r="2" customFormat="false" ht="15" hidden="false" customHeight="false" outlineLevel="0" collapsed="false">
      <c r="A2" s="2" t="s">
        <v>972</v>
      </c>
    </row>
    <row r="4" customFormat="false" ht="31.5" hidden="false" customHeight="true" outlineLevel="0" collapsed="false">
      <c r="A4" s="6" t="s">
        <v>118</v>
      </c>
      <c r="B4" s="6" t="s">
        <v>649</v>
      </c>
      <c r="C4" s="6" t="s">
        <v>540</v>
      </c>
      <c r="D4" s="6" t="s">
        <v>650</v>
      </c>
      <c r="E4" s="6" t="s">
        <v>652</v>
      </c>
      <c r="F4" s="6" t="s">
        <v>973</v>
      </c>
      <c r="G4" s="6" t="s">
        <v>655</v>
      </c>
    </row>
    <row r="5" customFormat="false" ht="23.85" hidden="false" customHeight="false" outlineLevel="0" collapsed="false">
      <c r="A5" s="7" t="s">
        <v>663</v>
      </c>
      <c r="B5" s="7" t="s">
        <v>664</v>
      </c>
      <c r="C5" s="7" t="s">
        <v>658</v>
      </c>
      <c r="D5" s="7" t="s">
        <v>665</v>
      </c>
      <c r="E5" s="7" t="s">
        <v>666</v>
      </c>
      <c r="F5" s="7" t="s">
        <v>683</v>
      </c>
      <c r="G5" s="7" t="s">
        <v>662</v>
      </c>
    </row>
    <row r="6" customFormat="false" ht="23.85" hidden="false" customHeight="false" outlineLevel="0" collapsed="false">
      <c r="A6" s="7" t="s">
        <v>668</v>
      </c>
      <c r="B6" s="7" t="s">
        <v>669</v>
      </c>
      <c r="C6" s="7" t="s">
        <v>658</v>
      </c>
      <c r="D6" s="7" t="s">
        <v>670</v>
      </c>
      <c r="E6" s="7" t="s">
        <v>671</v>
      </c>
      <c r="F6" s="7" t="s">
        <v>974</v>
      </c>
      <c r="G6" s="7" t="s">
        <v>662</v>
      </c>
    </row>
    <row r="7" customFormat="false" ht="23.85" hidden="false" customHeight="false" outlineLevel="0" collapsed="false">
      <c r="A7" s="7" t="s">
        <v>672</v>
      </c>
      <c r="B7" s="7" t="s">
        <v>673</v>
      </c>
      <c r="C7" s="7" t="s">
        <v>658</v>
      </c>
      <c r="D7" s="7" t="s">
        <v>674</v>
      </c>
      <c r="E7" s="7" t="s">
        <v>675</v>
      </c>
      <c r="F7" s="7" t="s">
        <v>975</v>
      </c>
      <c r="G7" s="7" t="s">
        <v>662</v>
      </c>
    </row>
    <row r="8" customFormat="false" ht="23.85" hidden="false" customHeight="false" outlineLevel="0" collapsed="false">
      <c r="A8" s="7" t="s">
        <v>676</v>
      </c>
      <c r="B8" s="7" t="s">
        <v>677</v>
      </c>
      <c r="C8" s="7" t="s">
        <v>658</v>
      </c>
      <c r="D8" s="7" t="s">
        <v>678</v>
      </c>
      <c r="E8" s="7" t="s">
        <v>679</v>
      </c>
      <c r="F8" s="7" t="s">
        <v>677</v>
      </c>
      <c r="G8" s="7" t="s">
        <v>662</v>
      </c>
    </row>
    <row r="9" customFormat="false" ht="23.85" hidden="false" customHeight="false" outlineLevel="0" collapsed="false">
      <c r="A9" s="7" t="s">
        <v>682</v>
      </c>
      <c r="B9" s="7" t="s">
        <v>683</v>
      </c>
      <c r="C9" s="7" t="s">
        <v>658</v>
      </c>
      <c r="D9" s="7" t="s">
        <v>684</v>
      </c>
      <c r="E9" s="7" t="s">
        <v>685</v>
      </c>
      <c r="F9" s="7" t="s">
        <v>976</v>
      </c>
      <c r="G9" s="7" t="s">
        <v>662</v>
      </c>
    </row>
    <row r="10" customFormat="false" ht="23.85" hidden="false" customHeight="false" outlineLevel="0" collapsed="false">
      <c r="A10" s="7" t="s">
        <v>686</v>
      </c>
      <c r="B10" s="7" t="s">
        <v>687</v>
      </c>
      <c r="C10" s="7" t="s">
        <v>658</v>
      </c>
      <c r="D10" s="7" t="s">
        <v>688</v>
      </c>
      <c r="E10" s="7" t="s">
        <v>689</v>
      </c>
      <c r="F10" s="7" t="s">
        <v>673</v>
      </c>
      <c r="G10" s="7" t="s">
        <v>662</v>
      </c>
    </row>
    <row r="11" customFormat="false" ht="23.85" hidden="false" customHeight="false" outlineLevel="0" collapsed="false">
      <c r="A11" s="7" t="s">
        <v>694</v>
      </c>
      <c r="B11" s="7" t="s">
        <v>695</v>
      </c>
      <c r="C11" s="7" t="s">
        <v>691</v>
      </c>
      <c r="D11" s="7" t="s">
        <v>696</v>
      </c>
      <c r="E11" s="7" t="s">
        <v>697</v>
      </c>
      <c r="F11" s="7" t="s">
        <v>977</v>
      </c>
      <c r="G11" s="7" t="s">
        <v>662</v>
      </c>
    </row>
    <row r="12" customFormat="false" ht="23.85" hidden="false" customHeight="false" outlineLevel="0" collapsed="false">
      <c r="A12" s="7" t="s">
        <v>702</v>
      </c>
      <c r="B12" s="7" t="s">
        <v>703</v>
      </c>
      <c r="C12" s="7" t="s">
        <v>699</v>
      </c>
      <c r="D12" s="7" t="s">
        <v>704</v>
      </c>
      <c r="E12" s="7" t="s">
        <v>705</v>
      </c>
      <c r="F12" s="7" t="s">
        <v>978</v>
      </c>
      <c r="G12" s="7" t="s">
        <v>662</v>
      </c>
    </row>
    <row r="13" customFormat="false" ht="23.85" hidden="false" customHeight="false" outlineLevel="0" collapsed="false">
      <c r="A13" s="7" t="s">
        <v>706</v>
      </c>
      <c r="B13" s="7" t="s">
        <v>707</v>
      </c>
      <c r="C13" s="7" t="s">
        <v>699</v>
      </c>
      <c r="D13" s="7" t="s">
        <v>708</v>
      </c>
      <c r="E13" s="7" t="s">
        <v>709</v>
      </c>
      <c r="F13" s="7" t="s">
        <v>979</v>
      </c>
      <c r="G13" s="7" t="s">
        <v>662</v>
      </c>
    </row>
    <row r="14" customFormat="false" ht="23.85" hidden="false" customHeight="false" outlineLevel="0" collapsed="false">
      <c r="A14" s="7" t="s">
        <v>710</v>
      </c>
      <c r="B14" s="7" t="s">
        <v>711</v>
      </c>
      <c r="C14" s="7" t="s">
        <v>699</v>
      </c>
      <c r="D14" s="7" t="s">
        <v>712</v>
      </c>
      <c r="E14" s="7" t="s">
        <v>713</v>
      </c>
      <c r="F14" s="7" t="s">
        <v>980</v>
      </c>
      <c r="G14" s="7" t="s">
        <v>662</v>
      </c>
    </row>
    <row r="15" customFormat="false" ht="23.85" hidden="false" customHeight="false" outlineLevel="0" collapsed="false">
      <c r="A15" s="7" t="s">
        <v>714</v>
      </c>
      <c r="B15" s="7" t="s">
        <v>715</v>
      </c>
      <c r="C15" s="7" t="s">
        <v>699</v>
      </c>
      <c r="D15" s="7" t="s">
        <v>716</v>
      </c>
      <c r="E15" s="7" t="s">
        <v>717</v>
      </c>
      <c r="F15" s="7" t="s">
        <v>981</v>
      </c>
      <c r="G15" s="7" t="s">
        <v>662</v>
      </c>
    </row>
    <row r="16" customFormat="false" ht="23.85" hidden="false" customHeight="false" outlineLevel="0" collapsed="false">
      <c r="A16" s="7" t="s">
        <v>722</v>
      </c>
      <c r="B16" s="7" t="s">
        <v>723</v>
      </c>
      <c r="C16" s="7" t="s">
        <v>719</v>
      </c>
      <c r="D16" s="7" t="s">
        <v>724</v>
      </c>
      <c r="E16" s="7" t="s">
        <v>725</v>
      </c>
      <c r="F16" s="7" t="s">
        <v>982</v>
      </c>
      <c r="G16" s="7" t="s">
        <v>662</v>
      </c>
    </row>
    <row r="17" customFormat="false" ht="23.85" hidden="false" customHeight="false" outlineLevel="0" collapsed="false">
      <c r="A17" s="7" t="s">
        <v>726</v>
      </c>
      <c r="B17" s="7" t="s">
        <v>727</v>
      </c>
      <c r="C17" s="7" t="s">
        <v>719</v>
      </c>
      <c r="D17" s="7" t="s">
        <v>728</v>
      </c>
      <c r="E17" s="7" t="s">
        <v>729</v>
      </c>
      <c r="F17" s="7" t="s">
        <v>983</v>
      </c>
      <c r="G17" s="7" t="s">
        <v>662</v>
      </c>
    </row>
    <row r="18" customFormat="false" ht="23.85" hidden="false" customHeight="false" outlineLevel="0" collapsed="false">
      <c r="A18" s="7" t="s">
        <v>730</v>
      </c>
      <c r="B18" s="7" t="s">
        <v>731</v>
      </c>
      <c r="C18" s="7" t="s">
        <v>719</v>
      </c>
      <c r="D18" s="7" t="s">
        <v>732</v>
      </c>
      <c r="E18" s="7" t="s">
        <v>733</v>
      </c>
      <c r="F18" s="7" t="s">
        <v>984</v>
      </c>
      <c r="G18" s="7" t="s">
        <v>662</v>
      </c>
    </row>
    <row r="19" customFormat="false" ht="23.85" hidden="false" customHeight="false" outlineLevel="0" collapsed="false">
      <c r="A19" s="7" t="s">
        <v>734</v>
      </c>
      <c r="B19" s="7" t="s">
        <v>735</v>
      </c>
      <c r="C19" s="7" t="s">
        <v>719</v>
      </c>
      <c r="D19" s="7" t="s">
        <v>736</v>
      </c>
      <c r="E19" s="7"/>
      <c r="F19" s="7"/>
      <c r="G19" s="7" t="s">
        <v>662</v>
      </c>
    </row>
    <row r="20" customFormat="false" ht="23.85" hidden="false" customHeight="false" outlineLevel="0" collapsed="false">
      <c r="A20" s="7" t="s">
        <v>737</v>
      </c>
      <c r="B20" s="7" t="s">
        <v>738</v>
      </c>
      <c r="C20" s="7" t="s">
        <v>719</v>
      </c>
      <c r="D20" s="7" t="s">
        <v>739</v>
      </c>
      <c r="E20" s="7"/>
      <c r="F20" s="7"/>
      <c r="G20" s="7" t="s">
        <v>662</v>
      </c>
    </row>
    <row r="21" customFormat="false" ht="23.85" hidden="false" customHeight="false" outlineLevel="0" collapsed="false">
      <c r="A21" s="7" t="s">
        <v>740</v>
      </c>
      <c r="B21" s="7" t="s">
        <v>741</v>
      </c>
      <c r="C21" s="7" t="s">
        <v>719</v>
      </c>
      <c r="D21" s="7" t="s">
        <v>742</v>
      </c>
      <c r="E21" s="7" t="s">
        <v>743</v>
      </c>
      <c r="F21" s="7" t="s">
        <v>985</v>
      </c>
      <c r="G21" s="7" t="s">
        <v>662</v>
      </c>
    </row>
    <row r="22" customFormat="false" ht="23.85" hidden="false" customHeight="false" outlineLevel="0" collapsed="false">
      <c r="A22" s="7" t="s">
        <v>744</v>
      </c>
      <c r="B22" s="7" t="s">
        <v>745</v>
      </c>
      <c r="C22" s="7" t="s">
        <v>719</v>
      </c>
      <c r="D22" s="7" t="s">
        <v>746</v>
      </c>
      <c r="E22" s="7" t="s">
        <v>747</v>
      </c>
      <c r="F22" s="7" t="s">
        <v>986</v>
      </c>
      <c r="G22" s="7" t="s">
        <v>662</v>
      </c>
    </row>
    <row r="23" customFormat="false" ht="23.85" hidden="false" customHeight="false" outlineLevel="0" collapsed="false">
      <c r="A23" s="7" t="s">
        <v>748</v>
      </c>
      <c r="B23" s="7" t="s">
        <v>749</v>
      </c>
      <c r="C23" s="7" t="s">
        <v>719</v>
      </c>
      <c r="D23" s="7" t="s">
        <v>750</v>
      </c>
      <c r="E23" s="7" t="s">
        <v>751</v>
      </c>
      <c r="F23" s="7" t="s">
        <v>987</v>
      </c>
      <c r="G23" s="7" t="s">
        <v>662</v>
      </c>
    </row>
    <row r="24" customFormat="false" ht="23.85" hidden="false" customHeight="false" outlineLevel="0" collapsed="false">
      <c r="A24" s="7" t="s">
        <v>752</v>
      </c>
      <c r="B24" s="7" t="s">
        <v>753</v>
      </c>
      <c r="C24" s="7" t="s">
        <v>719</v>
      </c>
      <c r="D24" s="7" t="s">
        <v>754</v>
      </c>
      <c r="E24" s="7" t="s">
        <v>755</v>
      </c>
      <c r="F24" s="7" t="s">
        <v>988</v>
      </c>
      <c r="G24" s="7" t="s">
        <v>662</v>
      </c>
    </row>
    <row r="25" customFormat="false" ht="23.85" hidden="false" customHeight="false" outlineLevel="0" collapsed="false">
      <c r="A25" s="7" t="s">
        <v>759</v>
      </c>
      <c r="B25" s="7" t="s">
        <v>760</v>
      </c>
      <c r="C25" s="7" t="s">
        <v>719</v>
      </c>
      <c r="D25" s="7" t="s">
        <v>761</v>
      </c>
      <c r="E25" s="7" t="s">
        <v>762</v>
      </c>
      <c r="F25" s="7" t="s">
        <v>989</v>
      </c>
      <c r="G25" s="7" t="s">
        <v>662</v>
      </c>
    </row>
    <row r="26" customFormat="false" ht="23.85" hidden="false" customHeight="false" outlineLevel="0" collapsed="false">
      <c r="A26" s="7" t="s">
        <v>763</v>
      </c>
      <c r="B26" s="7" t="s">
        <v>764</v>
      </c>
      <c r="C26" s="7" t="s">
        <v>719</v>
      </c>
      <c r="D26" s="7" t="s">
        <v>765</v>
      </c>
      <c r="E26" s="7" t="s">
        <v>766</v>
      </c>
      <c r="F26" s="7" t="s">
        <v>990</v>
      </c>
      <c r="G26" s="7" t="s">
        <v>662</v>
      </c>
    </row>
    <row r="27" customFormat="false" ht="23.85" hidden="false" customHeight="false" outlineLevel="0" collapsed="false">
      <c r="A27" s="7" t="s">
        <v>767</v>
      </c>
      <c r="B27" s="7" t="s">
        <v>768</v>
      </c>
      <c r="C27" s="7" t="s">
        <v>719</v>
      </c>
      <c r="D27" s="7" t="s">
        <v>769</v>
      </c>
      <c r="E27" s="7" t="s">
        <v>770</v>
      </c>
      <c r="F27" s="7" t="s">
        <v>991</v>
      </c>
      <c r="G27" s="7" t="s">
        <v>662</v>
      </c>
    </row>
    <row r="28" customFormat="false" ht="23.85" hidden="false" customHeight="false" outlineLevel="0" collapsed="false">
      <c r="A28" s="7" t="s">
        <v>771</v>
      </c>
      <c r="B28" s="7" t="s">
        <v>772</v>
      </c>
      <c r="C28" s="7" t="s">
        <v>719</v>
      </c>
      <c r="D28" s="7" t="s">
        <v>773</v>
      </c>
      <c r="E28" s="7" t="s">
        <v>774</v>
      </c>
      <c r="F28" s="7" t="s">
        <v>992</v>
      </c>
      <c r="G28" s="7" t="s">
        <v>662</v>
      </c>
    </row>
    <row r="29" customFormat="false" ht="23.85" hidden="false" customHeight="false" outlineLevel="0" collapsed="false">
      <c r="A29" s="7" t="s">
        <v>775</v>
      </c>
      <c r="B29" s="7" t="s">
        <v>776</v>
      </c>
      <c r="C29" s="7" t="s">
        <v>719</v>
      </c>
      <c r="D29" s="7" t="s">
        <v>777</v>
      </c>
      <c r="E29" s="7"/>
      <c r="F29" s="7"/>
      <c r="G29" s="7" t="s">
        <v>662</v>
      </c>
    </row>
    <row r="30" customFormat="false" ht="23.85" hidden="false" customHeight="false" outlineLevel="0" collapsed="false">
      <c r="A30" s="7" t="s">
        <v>778</v>
      </c>
      <c r="B30" s="7" t="s">
        <v>779</v>
      </c>
      <c r="C30" s="7" t="s">
        <v>719</v>
      </c>
      <c r="D30" s="7" t="s">
        <v>780</v>
      </c>
      <c r="E30" s="7" t="s">
        <v>781</v>
      </c>
      <c r="F30" s="7" t="s">
        <v>993</v>
      </c>
      <c r="G30" s="7" t="s">
        <v>662</v>
      </c>
    </row>
    <row r="31" customFormat="false" ht="23.85" hidden="false" customHeight="false" outlineLevel="0" collapsed="false">
      <c r="A31" s="7" t="s">
        <v>782</v>
      </c>
      <c r="B31" s="7" t="s">
        <v>783</v>
      </c>
      <c r="C31" s="7" t="s">
        <v>719</v>
      </c>
      <c r="D31" s="7" t="s">
        <v>784</v>
      </c>
      <c r="E31" s="7"/>
      <c r="F31" s="7"/>
      <c r="G31" s="7" t="s">
        <v>662</v>
      </c>
    </row>
    <row r="32" customFormat="false" ht="23.85" hidden="false" customHeight="false" outlineLevel="0" collapsed="false">
      <c r="A32" s="7" t="s">
        <v>785</v>
      </c>
      <c r="B32" s="7" t="s">
        <v>786</v>
      </c>
      <c r="C32" s="7" t="s">
        <v>719</v>
      </c>
      <c r="D32" s="7" t="s">
        <v>787</v>
      </c>
      <c r="E32" s="7"/>
      <c r="F32" s="7"/>
      <c r="G32" s="7" t="s">
        <v>662</v>
      </c>
    </row>
    <row r="33" customFormat="false" ht="23.85" hidden="false" customHeight="false" outlineLevel="0" collapsed="false">
      <c r="A33" s="7" t="s">
        <v>788</v>
      </c>
      <c r="B33" s="7" t="s">
        <v>789</v>
      </c>
      <c r="C33" s="7" t="s">
        <v>719</v>
      </c>
      <c r="D33" s="7" t="s">
        <v>790</v>
      </c>
      <c r="E33" s="7" t="s">
        <v>791</v>
      </c>
      <c r="F33" s="7" t="s">
        <v>994</v>
      </c>
      <c r="G33" s="7" t="s">
        <v>662</v>
      </c>
    </row>
    <row r="34" customFormat="false" ht="23.85" hidden="false" customHeight="false" outlineLevel="0" collapsed="false">
      <c r="A34" s="7" t="s">
        <v>796</v>
      </c>
      <c r="B34" s="7" t="s">
        <v>797</v>
      </c>
      <c r="C34" s="7" t="s">
        <v>793</v>
      </c>
      <c r="D34" s="7" t="s">
        <v>798</v>
      </c>
      <c r="E34" s="7" t="s">
        <v>799</v>
      </c>
      <c r="F34" s="7" t="s">
        <v>995</v>
      </c>
      <c r="G34" s="7" t="s">
        <v>662</v>
      </c>
    </row>
    <row r="35" customFormat="false" ht="23.85" hidden="false" customHeight="false" outlineLevel="0" collapsed="false">
      <c r="A35" s="7" t="s">
        <v>800</v>
      </c>
      <c r="B35" s="7" t="s">
        <v>801</v>
      </c>
      <c r="C35" s="7" t="s">
        <v>793</v>
      </c>
      <c r="D35" s="7" t="s">
        <v>802</v>
      </c>
      <c r="E35" s="7" t="s">
        <v>803</v>
      </c>
      <c r="F35" s="7" t="s">
        <v>996</v>
      </c>
      <c r="G35" s="7" t="s">
        <v>662</v>
      </c>
    </row>
    <row r="36" customFormat="false" ht="23.85" hidden="false" customHeight="false" outlineLevel="0" collapsed="false">
      <c r="A36" s="7" t="s">
        <v>807</v>
      </c>
      <c r="B36" s="7" t="s">
        <v>808</v>
      </c>
      <c r="C36" s="7" t="s">
        <v>793</v>
      </c>
      <c r="D36" s="7" t="s">
        <v>809</v>
      </c>
      <c r="E36" s="7" t="s">
        <v>810</v>
      </c>
      <c r="F36" s="7" t="s">
        <v>997</v>
      </c>
      <c r="G36" s="7" t="s">
        <v>662</v>
      </c>
    </row>
    <row r="37" customFormat="false" ht="23.85" hidden="false" customHeight="false" outlineLevel="0" collapsed="false">
      <c r="A37" s="7" t="s">
        <v>811</v>
      </c>
      <c r="B37" s="7" t="s">
        <v>812</v>
      </c>
      <c r="C37" s="7" t="s">
        <v>793</v>
      </c>
      <c r="D37" s="7" t="s">
        <v>813</v>
      </c>
      <c r="E37" s="7" t="s">
        <v>814</v>
      </c>
      <c r="F37" s="7" t="s">
        <v>998</v>
      </c>
      <c r="G37" s="7" t="s">
        <v>662</v>
      </c>
    </row>
    <row r="38" customFormat="false" ht="23.85" hidden="false" customHeight="false" outlineLevel="0" collapsed="false">
      <c r="A38" s="7" t="s">
        <v>815</v>
      </c>
      <c r="B38" s="7" t="s">
        <v>816</v>
      </c>
      <c r="C38" s="7" t="s">
        <v>793</v>
      </c>
      <c r="D38" s="7" t="s">
        <v>817</v>
      </c>
      <c r="E38" s="7" t="s">
        <v>818</v>
      </c>
      <c r="F38" s="7" t="s">
        <v>999</v>
      </c>
      <c r="G38" s="7" t="s">
        <v>662</v>
      </c>
    </row>
    <row r="39" customFormat="false" ht="23.85" hidden="false" customHeight="false" outlineLevel="0" collapsed="false">
      <c r="A39" s="7" t="s">
        <v>819</v>
      </c>
      <c r="B39" s="7" t="s">
        <v>820</v>
      </c>
      <c r="C39" s="7" t="s">
        <v>821</v>
      </c>
      <c r="D39" s="7" t="s">
        <v>822</v>
      </c>
      <c r="E39" s="7" t="s">
        <v>823</v>
      </c>
      <c r="F39" s="7" t="s">
        <v>1000</v>
      </c>
      <c r="G39" s="7" t="s">
        <v>662</v>
      </c>
    </row>
    <row r="40" customFormat="false" ht="23.85" hidden="false" customHeight="false" outlineLevel="0" collapsed="false">
      <c r="A40" s="7" t="s">
        <v>824</v>
      </c>
      <c r="B40" s="7" t="s">
        <v>825</v>
      </c>
      <c r="C40" s="7" t="s">
        <v>821</v>
      </c>
      <c r="D40" s="7" t="s">
        <v>826</v>
      </c>
      <c r="E40" s="7" t="s">
        <v>827</v>
      </c>
      <c r="F40" s="7" t="s">
        <v>1001</v>
      </c>
      <c r="G40" s="7" t="s">
        <v>662</v>
      </c>
    </row>
    <row r="41" customFormat="false" ht="23.85" hidden="false" customHeight="false" outlineLevel="0" collapsed="false">
      <c r="A41" s="7" t="s">
        <v>828</v>
      </c>
      <c r="B41" s="7" t="s">
        <v>829</v>
      </c>
      <c r="C41" s="7" t="s">
        <v>821</v>
      </c>
      <c r="D41" s="7" t="s">
        <v>830</v>
      </c>
      <c r="E41" s="7" t="s">
        <v>831</v>
      </c>
      <c r="F41" s="7" t="s">
        <v>888</v>
      </c>
      <c r="G41" s="7" t="s">
        <v>662</v>
      </c>
    </row>
    <row r="42" customFormat="false" ht="23.85" hidden="false" customHeight="false" outlineLevel="0" collapsed="false">
      <c r="A42" s="7" t="s">
        <v>832</v>
      </c>
      <c r="B42" s="7" t="s">
        <v>833</v>
      </c>
      <c r="C42" s="7" t="s">
        <v>834</v>
      </c>
      <c r="D42" s="7" t="s">
        <v>835</v>
      </c>
      <c r="E42" s="7" t="s">
        <v>836</v>
      </c>
      <c r="F42" s="7" t="s">
        <v>1002</v>
      </c>
      <c r="G42" s="7" t="s">
        <v>662</v>
      </c>
    </row>
    <row r="43" customFormat="false" ht="23.85" hidden="false" customHeight="false" outlineLevel="0" collapsed="false">
      <c r="A43" s="7" t="s">
        <v>837</v>
      </c>
      <c r="B43" s="7" t="s">
        <v>838</v>
      </c>
      <c r="C43" s="7" t="s">
        <v>834</v>
      </c>
      <c r="D43" s="7" t="s">
        <v>839</v>
      </c>
      <c r="E43" s="7"/>
      <c r="F43" s="7"/>
      <c r="G43" s="7" t="s">
        <v>662</v>
      </c>
    </row>
    <row r="44" customFormat="false" ht="23.85" hidden="false" customHeight="false" outlineLevel="0" collapsed="false">
      <c r="A44" s="7" t="s">
        <v>840</v>
      </c>
      <c r="B44" s="7" t="s">
        <v>841</v>
      </c>
      <c r="C44" s="7" t="s">
        <v>834</v>
      </c>
      <c r="D44" s="7" t="s">
        <v>842</v>
      </c>
      <c r="E44" s="7" t="s">
        <v>843</v>
      </c>
      <c r="F44" s="7" t="s">
        <v>1003</v>
      </c>
      <c r="G44" s="7" t="s">
        <v>662</v>
      </c>
    </row>
    <row r="45" customFormat="false" ht="23.85" hidden="false" customHeight="false" outlineLevel="0" collapsed="false">
      <c r="A45" s="7" t="s">
        <v>844</v>
      </c>
      <c r="B45" s="7" t="s">
        <v>845</v>
      </c>
      <c r="C45" s="7" t="s">
        <v>834</v>
      </c>
      <c r="D45" s="7" t="s">
        <v>846</v>
      </c>
      <c r="E45" s="7" t="s">
        <v>847</v>
      </c>
      <c r="F45" s="7" t="s">
        <v>1004</v>
      </c>
      <c r="G45" s="7" t="s">
        <v>662</v>
      </c>
    </row>
    <row r="46" customFormat="false" ht="23.85" hidden="false" customHeight="false" outlineLevel="0" collapsed="false">
      <c r="A46" s="7" t="s">
        <v>848</v>
      </c>
      <c r="B46" s="7" t="s">
        <v>849</v>
      </c>
      <c r="C46" s="7" t="s">
        <v>834</v>
      </c>
      <c r="D46" s="7" t="s">
        <v>850</v>
      </c>
      <c r="E46" s="7"/>
      <c r="F46" s="7"/>
      <c r="G46" s="7" t="s">
        <v>662</v>
      </c>
    </row>
    <row r="47" customFormat="false" ht="23.85" hidden="false" customHeight="false" outlineLevel="0" collapsed="false">
      <c r="A47" s="7" t="s">
        <v>851</v>
      </c>
      <c r="B47" s="7" t="s">
        <v>852</v>
      </c>
      <c r="C47" s="7" t="s">
        <v>834</v>
      </c>
      <c r="D47" s="7" t="s">
        <v>853</v>
      </c>
      <c r="E47" s="7" t="s">
        <v>854</v>
      </c>
      <c r="F47" s="7" t="s">
        <v>913</v>
      </c>
      <c r="G47" s="7" t="s">
        <v>662</v>
      </c>
    </row>
    <row r="48" customFormat="false" ht="23.85" hidden="false" customHeight="false" outlineLevel="0" collapsed="false">
      <c r="A48" s="7" t="s">
        <v>855</v>
      </c>
      <c r="B48" s="7" t="s">
        <v>856</v>
      </c>
      <c r="C48" s="7" t="s">
        <v>834</v>
      </c>
      <c r="D48" s="7" t="s">
        <v>857</v>
      </c>
      <c r="E48" s="7" t="s">
        <v>858</v>
      </c>
      <c r="F48" s="7" t="s">
        <v>1005</v>
      </c>
      <c r="G48" s="7" t="s">
        <v>662</v>
      </c>
    </row>
    <row r="49" customFormat="false" ht="23.85" hidden="false" customHeight="false" outlineLevel="0" collapsed="false">
      <c r="A49" s="7" t="s">
        <v>863</v>
      </c>
      <c r="B49" s="7" t="s">
        <v>864</v>
      </c>
      <c r="C49" s="7" t="s">
        <v>860</v>
      </c>
      <c r="D49" s="7" t="s">
        <v>865</v>
      </c>
      <c r="E49" s="7" t="s">
        <v>866</v>
      </c>
      <c r="F49" s="7" t="s">
        <v>940</v>
      </c>
      <c r="G49" s="7" t="s">
        <v>662</v>
      </c>
    </row>
    <row r="50" customFormat="false" ht="23.85" hidden="false" customHeight="false" outlineLevel="0" collapsed="false">
      <c r="A50" s="7" t="s">
        <v>867</v>
      </c>
      <c r="B50" s="7" t="s">
        <v>868</v>
      </c>
      <c r="C50" s="7" t="s">
        <v>860</v>
      </c>
      <c r="D50" s="7" t="s">
        <v>869</v>
      </c>
      <c r="E50" s="7" t="s">
        <v>870</v>
      </c>
      <c r="F50" s="7" t="s">
        <v>944</v>
      </c>
      <c r="G50" s="7" t="s">
        <v>662</v>
      </c>
    </row>
    <row r="51" customFormat="false" ht="23.85" hidden="false" customHeight="false" outlineLevel="0" collapsed="false">
      <c r="A51" s="7" t="s">
        <v>871</v>
      </c>
      <c r="B51" s="7" t="s">
        <v>872</v>
      </c>
      <c r="C51" s="7" t="s">
        <v>860</v>
      </c>
      <c r="D51" s="7" t="s">
        <v>873</v>
      </c>
      <c r="E51" s="7" t="s">
        <v>874</v>
      </c>
      <c r="F51" s="7" t="s">
        <v>1006</v>
      </c>
      <c r="G51" s="7" t="s">
        <v>662</v>
      </c>
    </row>
    <row r="52" customFormat="false" ht="23.85" hidden="false" customHeight="false" outlineLevel="0" collapsed="false">
      <c r="A52" s="7" t="s">
        <v>875</v>
      </c>
      <c r="B52" s="7" t="s">
        <v>876</v>
      </c>
      <c r="C52" s="7" t="s">
        <v>860</v>
      </c>
      <c r="D52" s="7" t="s">
        <v>877</v>
      </c>
      <c r="E52" s="7" t="s">
        <v>878</v>
      </c>
      <c r="F52" s="7" t="s">
        <v>960</v>
      </c>
      <c r="G52" s="7" t="s">
        <v>662</v>
      </c>
    </row>
    <row r="53" customFormat="false" ht="23.85" hidden="false" customHeight="false" outlineLevel="0" collapsed="false">
      <c r="A53" s="7" t="s">
        <v>879</v>
      </c>
      <c r="B53" s="7" t="s">
        <v>880</v>
      </c>
      <c r="C53" s="7" t="s">
        <v>860</v>
      </c>
      <c r="D53" s="7" t="s">
        <v>881</v>
      </c>
      <c r="E53" s="7" t="s">
        <v>882</v>
      </c>
      <c r="F53" s="7" t="s">
        <v>963</v>
      </c>
      <c r="G53" s="7" t="s">
        <v>662</v>
      </c>
    </row>
    <row r="54" customFormat="false" ht="23.85" hidden="false" customHeight="false" outlineLevel="0" collapsed="false">
      <c r="A54" s="7" t="s">
        <v>883</v>
      </c>
      <c r="B54" s="7" t="s">
        <v>884</v>
      </c>
      <c r="C54" s="7" t="s">
        <v>860</v>
      </c>
      <c r="D54" s="7" t="s">
        <v>885</v>
      </c>
      <c r="E54" s="7" t="s">
        <v>886</v>
      </c>
      <c r="F54" s="7" t="s">
        <v>1007</v>
      </c>
      <c r="G54" s="7" t="s">
        <v>662</v>
      </c>
    </row>
    <row r="55" customFormat="false" ht="23.85" hidden="false" customHeight="false" outlineLevel="0" collapsed="false">
      <c r="A55" s="7" t="s">
        <v>887</v>
      </c>
      <c r="B55" s="7" t="s">
        <v>888</v>
      </c>
      <c r="C55" s="7" t="s">
        <v>860</v>
      </c>
      <c r="D55" s="7" t="s">
        <v>889</v>
      </c>
      <c r="E55" s="7" t="s">
        <v>890</v>
      </c>
      <c r="F55" s="7" t="s">
        <v>1008</v>
      </c>
      <c r="G55" s="7" t="s">
        <v>662</v>
      </c>
    </row>
    <row r="56" customFormat="false" ht="23.85" hidden="false" customHeight="false" outlineLevel="0" collapsed="false">
      <c r="A56" s="7" t="s">
        <v>891</v>
      </c>
      <c r="B56" s="7" t="s">
        <v>892</v>
      </c>
      <c r="C56" s="7" t="s">
        <v>860</v>
      </c>
      <c r="D56" s="7" t="s">
        <v>893</v>
      </c>
      <c r="E56" s="7" t="s">
        <v>894</v>
      </c>
      <c r="F56" s="7" t="s">
        <v>1009</v>
      </c>
      <c r="G56" s="7" t="s">
        <v>662</v>
      </c>
    </row>
    <row r="57" customFormat="false" ht="23.85" hidden="false" customHeight="false" outlineLevel="0" collapsed="false">
      <c r="A57" s="7" t="s">
        <v>895</v>
      </c>
      <c r="B57" s="7" t="s">
        <v>896</v>
      </c>
      <c r="C57" s="7" t="s">
        <v>860</v>
      </c>
      <c r="D57" s="7" t="s">
        <v>897</v>
      </c>
      <c r="E57" s="7" t="s">
        <v>898</v>
      </c>
      <c r="F57" s="7" t="s">
        <v>1010</v>
      </c>
      <c r="G57" s="7" t="s">
        <v>662</v>
      </c>
    </row>
    <row r="58" customFormat="false" ht="23.85" hidden="false" customHeight="false" outlineLevel="0" collapsed="false">
      <c r="A58" s="7" t="s">
        <v>899</v>
      </c>
      <c r="B58" s="7" t="s">
        <v>900</v>
      </c>
      <c r="C58" s="7" t="s">
        <v>860</v>
      </c>
      <c r="D58" s="7" t="s">
        <v>901</v>
      </c>
      <c r="E58" s="7" t="s">
        <v>902</v>
      </c>
      <c r="F58" s="7" t="s">
        <v>1011</v>
      </c>
      <c r="G58" s="7" t="s">
        <v>662</v>
      </c>
    </row>
    <row r="59" customFormat="false" ht="23.85" hidden="false" customHeight="false" outlineLevel="0" collapsed="false">
      <c r="A59" s="7" t="s">
        <v>903</v>
      </c>
      <c r="B59" s="7" t="s">
        <v>904</v>
      </c>
      <c r="C59" s="7" t="s">
        <v>905</v>
      </c>
      <c r="D59" s="7" t="s">
        <v>906</v>
      </c>
      <c r="E59" s="7" t="s">
        <v>907</v>
      </c>
      <c r="F59" s="7" t="s">
        <v>1012</v>
      </c>
      <c r="G59" s="7" t="s">
        <v>662</v>
      </c>
    </row>
    <row r="60" customFormat="false" ht="23.85" hidden="false" customHeight="false" outlineLevel="0" collapsed="false">
      <c r="A60" s="7" t="s">
        <v>908</v>
      </c>
      <c r="B60" s="7" t="s">
        <v>909</v>
      </c>
      <c r="C60" s="7" t="s">
        <v>905</v>
      </c>
      <c r="D60" s="7" t="s">
        <v>910</v>
      </c>
      <c r="E60" s="7" t="s">
        <v>911</v>
      </c>
      <c r="F60" s="7" t="s">
        <v>1013</v>
      </c>
      <c r="G60" s="7" t="s">
        <v>662</v>
      </c>
    </row>
    <row r="61" customFormat="false" ht="23.85" hidden="false" customHeight="false" outlineLevel="0" collapsed="false">
      <c r="A61" s="7" t="s">
        <v>912</v>
      </c>
      <c r="B61" s="7" t="s">
        <v>913</v>
      </c>
      <c r="C61" s="7" t="s">
        <v>905</v>
      </c>
      <c r="D61" s="7" t="s">
        <v>914</v>
      </c>
      <c r="E61" s="7" t="s">
        <v>915</v>
      </c>
      <c r="F61" s="7" t="s">
        <v>1014</v>
      </c>
      <c r="G61" s="7" t="s">
        <v>662</v>
      </c>
    </row>
    <row r="62" customFormat="false" ht="23.85" hidden="false" customHeight="false" outlineLevel="0" collapsed="false">
      <c r="A62" s="7" t="s">
        <v>916</v>
      </c>
      <c r="B62" s="7" t="s">
        <v>917</v>
      </c>
      <c r="C62" s="7" t="s">
        <v>905</v>
      </c>
      <c r="D62" s="7" t="s">
        <v>918</v>
      </c>
      <c r="E62" s="7" t="s">
        <v>919</v>
      </c>
      <c r="F62" s="7" t="s">
        <v>1015</v>
      </c>
      <c r="G62" s="7" t="s">
        <v>662</v>
      </c>
    </row>
    <row r="63" customFormat="false" ht="23.85" hidden="false" customHeight="false" outlineLevel="0" collapsed="false">
      <c r="A63" s="7" t="s">
        <v>920</v>
      </c>
      <c r="B63" s="7" t="s">
        <v>921</v>
      </c>
      <c r="C63" s="7" t="s">
        <v>905</v>
      </c>
      <c r="D63" s="7" t="s">
        <v>922</v>
      </c>
      <c r="E63" s="7" t="s">
        <v>923</v>
      </c>
      <c r="F63" s="7" t="s">
        <v>1016</v>
      </c>
      <c r="G63" s="7" t="s">
        <v>662</v>
      </c>
    </row>
    <row r="64" customFormat="false" ht="23.85" hidden="false" customHeight="false" outlineLevel="0" collapsed="false">
      <c r="A64" s="7" t="s">
        <v>928</v>
      </c>
      <c r="B64" s="7" t="s">
        <v>929</v>
      </c>
      <c r="C64" s="7" t="s">
        <v>925</v>
      </c>
      <c r="D64" s="7" t="s">
        <v>930</v>
      </c>
      <c r="E64" s="7" t="s">
        <v>931</v>
      </c>
      <c r="F64" s="7" t="s">
        <v>1017</v>
      </c>
      <c r="G64" s="7" t="s">
        <v>662</v>
      </c>
    </row>
    <row r="65" customFormat="false" ht="23.85" hidden="false" customHeight="false" outlineLevel="0" collapsed="false">
      <c r="A65" s="7" t="s">
        <v>932</v>
      </c>
      <c r="B65" s="7" t="s">
        <v>933</v>
      </c>
      <c r="C65" s="7" t="s">
        <v>925</v>
      </c>
      <c r="D65" s="7" t="s">
        <v>934</v>
      </c>
      <c r="E65" s="7" t="s">
        <v>935</v>
      </c>
      <c r="F65" s="7" t="s">
        <v>1018</v>
      </c>
      <c r="G65" s="7" t="s">
        <v>662</v>
      </c>
    </row>
    <row r="66" customFormat="false" ht="23.85" hidden="false" customHeight="false" outlineLevel="0" collapsed="false">
      <c r="A66" s="7" t="s">
        <v>939</v>
      </c>
      <c r="B66" s="7" t="s">
        <v>940</v>
      </c>
      <c r="C66" s="7" t="s">
        <v>925</v>
      </c>
      <c r="D66" s="7" t="s">
        <v>941</v>
      </c>
      <c r="E66" s="7" t="s">
        <v>942</v>
      </c>
      <c r="F66" s="7" t="s">
        <v>1019</v>
      </c>
      <c r="G66" s="7" t="s">
        <v>662</v>
      </c>
    </row>
    <row r="67" customFormat="false" ht="23.85" hidden="false" customHeight="false" outlineLevel="0" collapsed="false">
      <c r="A67" s="7" t="s">
        <v>943</v>
      </c>
      <c r="B67" s="7" t="s">
        <v>944</v>
      </c>
      <c r="C67" s="7" t="s">
        <v>925</v>
      </c>
      <c r="D67" s="7" t="s">
        <v>945</v>
      </c>
      <c r="E67" s="7" t="s">
        <v>946</v>
      </c>
      <c r="F67" s="7" t="s">
        <v>1020</v>
      </c>
      <c r="G67" s="7" t="s">
        <v>662</v>
      </c>
    </row>
    <row r="68" customFormat="false" ht="23.85" hidden="false" customHeight="false" outlineLevel="0" collapsed="false">
      <c r="A68" s="7" t="s">
        <v>947</v>
      </c>
      <c r="B68" s="7" t="s">
        <v>948</v>
      </c>
      <c r="C68" s="7" t="s">
        <v>925</v>
      </c>
      <c r="D68" s="7" t="s">
        <v>949</v>
      </c>
      <c r="E68" s="7" t="s">
        <v>950</v>
      </c>
      <c r="F68" s="7" t="s">
        <v>1021</v>
      </c>
      <c r="G68" s="7" t="s">
        <v>662</v>
      </c>
    </row>
    <row r="69" customFormat="false" ht="23.85" hidden="false" customHeight="false" outlineLevel="0" collapsed="false">
      <c r="A69" s="7" t="s">
        <v>951</v>
      </c>
      <c r="B69" s="7" t="s">
        <v>952</v>
      </c>
      <c r="C69" s="7" t="s">
        <v>925</v>
      </c>
      <c r="D69" s="7" t="s">
        <v>953</v>
      </c>
      <c r="E69" s="7" t="s">
        <v>954</v>
      </c>
      <c r="F69" s="7" t="s">
        <v>1022</v>
      </c>
      <c r="G69" s="7" t="s">
        <v>662</v>
      </c>
    </row>
    <row r="70" customFormat="false" ht="23.85" hidden="false" customHeight="false" outlineLevel="0" collapsed="false">
      <c r="A70" s="7" t="s">
        <v>955</v>
      </c>
      <c r="B70" s="7" t="s">
        <v>956</v>
      </c>
      <c r="C70" s="7" t="s">
        <v>925</v>
      </c>
      <c r="D70" s="7" t="s">
        <v>957</v>
      </c>
      <c r="E70" s="7" t="s">
        <v>958</v>
      </c>
      <c r="F70" s="7" t="s">
        <v>1023</v>
      </c>
      <c r="G70" s="7" t="s">
        <v>662</v>
      </c>
    </row>
    <row r="71" customFormat="false" ht="23.85" hidden="false" customHeight="false" outlineLevel="0" collapsed="false">
      <c r="A71" s="7" t="s">
        <v>959</v>
      </c>
      <c r="B71" s="7" t="s">
        <v>960</v>
      </c>
      <c r="C71" s="7" t="s">
        <v>925</v>
      </c>
      <c r="D71" s="7" t="s">
        <v>961</v>
      </c>
      <c r="E71" s="7" t="s">
        <v>958</v>
      </c>
      <c r="F71" s="7" t="s">
        <v>1023</v>
      </c>
      <c r="G71" s="7" t="s">
        <v>662</v>
      </c>
    </row>
    <row r="72" customFormat="false" ht="23.85" hidden="false" customHeight="false" outlineLevel="0" collapsed="false">
      <c r="A72" s="7" t="s">
        <v>962</v>
      </c>
      <c r="B72" s="7" t="s">
        <v>963</v>
      </c>
      <c r="C72" s="7" t="s">
        <v>925</v>
      </c>
      <c r="D72" s="7" t="s">
        <v>964</v>
      </c>
      <c r="E72" s="7" t="s">
        <v>965</v>
      </c>
      <c r="F72" s="7" t="s">
        <v>1024</v>
      </c>
      <c r="G72" s="7" t="s">
        <v>662</v>
      </c>
    </row>
    <row r="73" customFormat="false" ht="23.85" hidden="false" customHeight="false" outlineLevel="0" collapsed="false">
      <c r="A73" s="7" t="s">
        <v>966</v>
      </c>
      <c r="B73" s="7" t="s">
        <v>967</v>
      </c>
      <c r="C73" s="7" t="s">
        <v>925</v>
      </c>
      <c r="D73" s="7" t="s">
        <v>968</v>
      </c>
      <c r="E73" s="7" t="s">
        <v>969</v>
      </c>
      <c r="F73" s="7" t="s">
        <v>1025</v>
      </c>
      <c r="G73" s="7" t="s">
        <v>662</v>
      </c>
    </row>
    <row r="75" customFormat="false" ht="15" hidden="false" customHeight="false" outlineLevel="0" collapsed="false">
      <c r="D75" s="11" t="s">
        <v>1026</v>
      </c>
      <c r="E75" s="11" t="n">
        <f aca="false">COUNTA(A5:A73)</f>
        <v>69</v>
      </c>
    </row>
  </sheetData>
  <autoFilter ref="A4:G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5CAD"/>
    <pageSetUpPr fitToPage="false"/>
  </sheetPr>
  <dimension ref="A1:P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28"/>
    <col collapsed="false" customWidth="true" hidden="false" outlineLevel="0" max="5" min="5" style="0" width="60"/>
    <col collapsed="false" customWidth="true" hidden="false" outlineLevel="0" max="6" min="6" style="0" width="50"/>
    <col collapsed="false" customWidth="true" hidden="false" outlineLevel="0" max="7" min="7" style="0" width="9"/>
    <col collapsed="false" customWidth="true" hidden="false" outlineLevel="0" max="8" min="8" style="0" width="18"/>
    <col collapsed="false" customWidth="true" hidden="false" outlineLevel="0" max="9" min="9" style="0" width="22"/>
    <col collapsed="false" customWidth="true" hidden="false" outlineLevel="0" max="10" min="10" style="0" width="16"/>
    <col collapsed="false" customWidth="true" hidden="false" outlineLevel="0" max="11" min="11" style="0" width="14"/>
    <col collapsed="false" customWidth="true" hidden="false" outlineLevel="0" max="13" min="12" style="0" width="16"/>
    <col collapsed="false" customWidth="true" hidden="false" outlineLevel="0" max="14" min="14" style="0" width="12"/>
    <col collapsed="false" customWidth="true" hidden="false" outlineLevel="0" max="15" min="15" style="0" width="10"/>
    <col collapsed="false" customWidth="true" hidden="false" outlineLevel="0" max="16" min="16" style="0" width="16"/>
  </cols>
  <sheetData>
    <row r="1" customFormat="false" ht="17.35" hidden="false" customHeight="false" outlineLevel="0" collapsed="false">
      <c r="A1" s="1" t="s">
        <v>1027</v>
      </c>
    </row>
    <row r="2" customFormat="false" ht="15" hidden="false" customHeight="false" outlineLevel="0" collapsed="false">
      <c r="A2" s="2" t="s">
        <v>1028</v>
      </c>
    </row>
    <row r="4" customFormat="false" ht="31.5" hidden="false" customHeight="true" outlineLevel="0" collapsed="false">
      <c r="A4" s="6" t="s">
        <v>118</v>
      </c>
      <c r="B4" s="6" t="s">
        <v>538</v>
      </c>
      <c r="C4" s="6" t="s">
        <v>539</v>
      </c>
      <c r="D4" s="6" t="s">
        <v>540</v>
      </c>
      <c r="E4" s="6" t="s">
        <v>120</v>
      </c>
      <c r="F4" s="6" t="s">
        <v>125</v>
      </c>
      <c r="G4" s="6" t="s">
        <v>541</v>
      </c>
      <c r="H4" s="6" t="s">
        <v>126</v>
      </c>
      <c r="I4" s="6" t="s">
        <v>127</v>
      </c>
      <c r="J4" s="6" t="s">
        <v>542</v>
      </c>
      <c r="K4" s="6" t="s">
        <v>543</v>
      </c>
      <c r="L4" s="6" t="s">
        <v>544</v>
      </c>
      <c r="M4" s="6" t="s">
        <v>545</v>
      </c>
      <c r="N4" s="6" t="s">
        <v>546</v>
      </c>
      <c r="O4" s="6" t="s">
        <v>547</v>
      </c>
      <c r="P4" s="6" t="s">
        <v>548</v>
      </c>
    </row>
    <row r="5" customFormat="false" ht="57.45" hidden="false" customHeight="false" outlineLevel="0" collapsed="false">
      <c r="A5" s="7" t="s">
        <v>766</v>
      </c>
      <c r="B5" s="7" t="s">
        <v>990</v>
      </c>
      <c r="C5" s="7" t="s">
        <v>1029</v>
      </c>
      <c r="D5" s="7" t="s">
        <v>584</v>
      </c>
      <c r="E5" s="7" t="s">
        <v>1030</v>
      </c>
      <c r="F5" s="7" t="s">
        <v>1031</v>
      </c>
      <c r="G5" s="8" t="n">
        <v>0.3</v>
      </c>
      <c r="H5" s="7" t="s">
        <v>1032</v>
      </c>
      <c r="I5" s="7" t="s">
        <v>250</v>
      </c>
      <c r="J5" s="7" t="s">
        <v>568</v>
      </c>
      <c r="K5" s="7" t="s">
        <v>569</v>
      </c>
      <c r="L5" s="7" t="s">
        <v>764</v>
      </c>
      <c r="M5" s="7" t="s">
        <v>1033</v>
      </c>
      <c r="N5" s="7" t="s">
        <v>1034</v>
      </c>
      <c r="O5" s="7" t="s">
        <v>133</v>
      </c>
      <c r="P5" s="7"/>
    </row>
    <row r="6" customFormat="false" ht="68.65" hidden="false" customHeight="false" outlineLevel="0" collapsed="false">
      <c r="A6" s="7" t="s">
        <v>1035</v>
      </c>
      <c r="B6" s="7" t="s">
        <v>657</v>
      </c>
      <c r="C6" s="7" t="s">
        <v>1029</v>
      </c>
      <c r="D6" s="7" t="s">
        <v>552</v>
      </c>
      <c r="E6" s="7" t="s">
        <v>1036</v>
      </c>
      <c r="F6" s="7" t="s">
        <v>1037</v>
      </c>
      <c r="G6" s="8" t="n">
        <v>1</v>
      </c>
      <c r="H6" s="7" t="s">
        <v>1038</v>
      </c>
      <c r="I6" s="7" t="s">
        <v>250</v>
      </c>
      <c r="J6" s="7" t="s">
        <v>568</v>
      </c>
      <c r="K6" s="7" t="s">
        <v>569</v>
      </c>
      <c r="L6" s="7" t="s">
        <v>683</v>
      </c>
      <c r="M6" s="7" t="s">
        <v>1039</v>
      </c>
      <c r="N6" s="7" t="s">
        <v>560</v>
      </c>
      <c r="O6" s="7"/>
      <c r="P6" s="7"/>
    </row>
    <row r="7" customFormat="false" ht="91" hidden="false" customHeight="false" outlineLevel="0" collapsed="false">
      <c r="A7" s="7" t="s">
        <v>1040</v>
      </c>
      <c r="B7" s="7" t="s">
        <v>664</v>
      </c>
      <c r="C7" s="7" t="s">
        <v>1029</v>
      </c>
      <c r="D7" s="7" t="s">
        <v>552</v>
      </c>
      <c r="E7" s="7" t="s">
        <v>1041</v>
      </c>
      <c r="F7" s="7" t="s">
        <v>1042</v>
      </c>
      <c r="G7" s="8" t="n">
        <v>1.2</v>
      </c>
      <c r="H7" s="7" t="s">
        <v>1043</v>
      </c>
      <c r="I7" s="7" t="s">
        <v>250</v>
      </c>
      <c r="J7" s="7" t="s">
        <v>556</v>
      </c>
      <c r="K7" s="7" t="s">
        <v>557</v>
      </c>
      <c r="L7" s="7" t="s">
        <v>683</v>
      </c>
      <c r="M7" s="7" t="s">
        <v>1039</v>
      </c>
      <c r="N7" s="7" t="s">
        <v>560</v>
      </c>
      <c r="O7" s="7"/>
      <c r="P7" s="7"/>
    </row>
    <row r="8" customFormat="false" ht="91" hidden="false" customHeight="false" outlineLevel="0" collapsed="false">
      <c r="A8" s="7" t="s">
        <v>689</v>
      </c>
      <c r="B8" s="7" t="s">
        <v>673</v>
      </c>
      <c r="C8" s="7" t="s">
        <v>1029</v>
      </c>
      <c r="D8" s="7" t="s">
        <v>552</v>
      </c>
      <c r="E8" s="7" t="s">
        <v>1044</v>
      </c>
      <c r="F8" s="7" t="s">
        <v>1045</v>
      </c>
      <c r="G8" s="8" t="n">
        <v>0.1</v>
      </c>
      <c r="H8" s="7" t="s">
        <v>1046</v>
      </c>
      <c r="I8" s="7" t="s">
        <v>250</v>
      </c>
      <c r="J8" s="7" t="s">
        <v>568</v>
      </c>
      <c r="K8" s="7" t="s">
        <v>569</v>
      </c>
      <c r="L8" s="7" t="s">
        <v>687</v>
      </c>
      <c r="M8" s="7" t="s">
        <v>1047</v>
      </c>
      <c r="N8" s="7" t="s">
        <v>560</v>
      </c>
      <c r="O8" s="7"/>
      <c r="P8" s="7"/>
    </row>
    <row r="9" customFormat="false" ht="91" hidden="false" customHeight="false" outlineLevel="0" collapsed="false">
      <c r="A9" s="7" t="s">
        <v>679</v>
      </c>
      <c r="B9" s="7" t="s">
        <v>677</v>
      </c>
      <c r="C9" s="7" t="s">
        <v>1029</v>
      </c>
      <c r="D9" s="7" t="s">
        <v>552</v>
      </c>
      <c r="E9" s="7" t="s">
        <v>1048</v>
      </c>
      <c r="F9" s="7" t="s">
        <v>1049</v>
      </c>
      <c r="G9" s="8" t="n">
        <v>0.9</v>
      </c>
      <c r="H9" s="7" t="s">
        <v>1050</v>
      </c>
      <c r="I9" s="7" t="s">
        <v>250</v>
      </c>
      <c r="J9" s="7" t="s">
        <v>556</v>
      </c>
      <c r="K9" s="7" t="s">
        <v>557</v>
      </c>
      <c r="L9" s="7" t="s">
        <v>677</v>
      </c>
      <c r="M9" s="7" t="s">
        <v>1051</v>
      </c>
      <c r="N9" s="7" t="s">
        <v>560</v>
      </c>
      <c r="O9" s="7"/>
      <c r="P9" s="7"/>
    </row>
    <row r="10" customFormat="false" ht="57.45" hidden="false" customHeight="false" outlineLevel="0" collapsed="false">
      <c r="A10" s="7" t="s">
        <v>1052</v>
      </c>
      <c r="B10" s="7" t="s">
        <v>1053</v>
      </c>
      <c r="C10" s="7" t="s">
        <v>1029</v>
      </c>
      <c r="D10" s="7" t="s">
        <v>552</v>
      </c>
      <c r="E10" s="7" t="s">
        <v>1054</v>
      </c>
      <c r="F10" s="7" t="s">
        <v>1055</v>
      </c>
      <c r="G10" s="8" t="n">
        <v>0.1</v>
      </c>
      <c r="H10" s="7" t="s">
        <v>1056</v>
      </c>
      <c r="I10" s="7" t="s">
        <v>523</v>
      </c>
      <c r="J10" s="7" t="s">
        <v>556</v>
      </c>
      <c r="K10" s="7" t="s">
        <v>557</v>
      </c>
      <c r="L10" s="7" t="s">
        <v>673</v>
      </c>
      <c r="M10" s="7" t="s">
        <v>1057</v>
      </c>
      <c r="N10" s="7" t="s">
        <v>560</v>
      </c>
      <c r="O10" s="7"/>
      <c r="P10" s="7"/>
    </row>
    <row r="11" customFormat="false" ht="124.6" hidden="false" customHeight="false" outlineLevel="0" collapsed="false">
      <c r="A11" s="7" t="s">
        <v>666</v>
      </c>
      <c r="B11" s="7" t="s">
        <v>683</v>
      </c>
      <c r="C11" s="7" t="s">
        <v>1029</v>
      </c>
      <c r="D11" s="7" t="s">
        <v>552</v>
      </c>
      <c r="E11" s="7" t="s">
        <v>1058</v>
      </c>
      <c r="F11" s="7" t="s">
        <v>1059</v>
      </c>
      <c r="G11" s="8" t="n">
        <v>0.4</v>
      </c>
      <c r="H11" s="7" t="s">
        <v>1060</v>
      </c>
      <c r="I11" s="7" t="s">
        <v>250</v>
      </c>
      <c r="J11" s="7" t="s">
        <v>556</v>
      </c>
      <c r="K11" s="7" t="s">
        <v>557</v>
      </c>
      <c r="L11" s="7" t="s">
        <v>664</v>
      </c>
      <c r="M11" s="7" t="s">
        <v>1061</v>
      </c>
      <c r="N11" s="7" t="s">
        <v>560</v>
      </c>
      <c r="O11" s="7"/>
      <c r="P11" s="7"/>
    </row>
    <row r="12" customFormat="false" ht="57.45" hidden="false" customHeight="false" outlineLevel="0" collapsed="false">
      <c r="A12" s="7" t="s">
        <v>671</v>
      </c>
      <c r="B12" s="7" t="s">
        <v>974</v>
      </c>
      <c r="C12" s="7" t="s">
        <v>1029</v>
      </c>
      <c r="D12" s="7" t="s">
        <v>552</v>
      </c>
      <c r="E12" s="7" t="s">
        <v>1062</v>
      </c>
      <c r="F12" s="7" t="s">
        <v>1063</v>
      </c>
      <c r="G12" s="8" t="n">
        <v>0.3</v>
      </c>
      <c r="H12" s="7" t="s">
        <v>1064</v>
      </c>
      <c r="I12" s="7" t="s">
        <v>250</v>
      </c>
      <c r="J12" s="7" t="s">
        <v>1065</v>
      </c>
      <c r="K12" s="7"/>
      <c r="L12" s="7" t="s">
        <v>669</v>
      </c>
      <c r="M12" s="7" t="s">
        <v>1061</v>
      </c>
      <c r="N12" s="7" t="s">
        <v>560</v>
      </c>
      <c r="O12" s="7"/>
      <c r="P12" s="7"/>
    </row>
    <row r="13" customFormat="false" ht="57.45" hidden="false" customHeight="false" outlineLevel="0" collapsed="false">
      <c r="A13" s="7" t="s">
        <v>1066</v>
      </c>
      <c r="B13" s="7" t="s">
        <v>1067</v>
      </c>
      <c r="C13" s="7" t="s">
        <v>1029</v>
      </c>
      <c r="D13" s="7" t="s">
        <v>552</v>
      </c>
      <c r="E13" s="7" t="s">
        <v>1068</v>
      </c>
      <c r="F13" s="7" t="s">
        <v>1063</v>
      </c>
      <c r="G13" s="8" t="n">
        <v>0.1</v>
      </c>
      <c r="H13" s="7" t="s">
        <v>1069</v>
      </c>
      <c r="I13" s="7" t="s">
        <v>250</v>
      </c>
      <c r="J13" s="7" t="s">
        <v>556</v>
      </c>
      <c r="K13" s="7" t="s">
        <v>557</v>
      </c>
      <c r="L13" s="7" t="s">
        <v>673</v>
      </c>
      <c r="M13" s="7" t="s">
        <v>1061</v>
      </c>
      <c r="N13" s="7" t="s">
        <v>560</v>
      </c>
      <c r="O13" s="7"/>
      <c r="P13" s="7"/>
    </row>
    <row r="14" customFormat="false" ht="169.4" hidden="false" customHeight="false" outlineLevel="0" collapsed="false">
      <c r="A14" s="7" t="s">
        <v>697</v>
      </c>
      <c r="B14" s="7" t="s">
        <v>977</v>
      </c>
      <c r="C14" s="7" t="s">
        <v>1029</v>
      </c>
      <c r="D14" s="7" t="s">
        <v>564</v>
      </c>
      <c r="E14" s="7" t="s">
        <v>1070</v>
      </c>
      <c r="F14" s="7" t="s">
        <v>1071</v>
      </c>
      <c r="G14" s="8" t="n">
        <v>1.4</v>
      </c>
      <c r="H14" s="7" t="s">
        <v>1072</v>
      </c>
      <c r="I14" s="7" t="s">
        <v>250</v>
      </c>
      <c r="J14" s="7" t="s">
        <v>568</v>
      </c>
      <c r="K14" s="7" t="s">
        <v>569</v>
      </c>
      <c r="L14" s="7" t="s">
        <v>695</v>
      </c>
      <c r="M14" s="7" t="s">
        <v>1073</v>
      </c>
      <c r="N14" s="7" t="s">
        <v>571</v>
      </c>
      <c r="O14" s="7"/>
      <c r="P14" s="7"/>
    </row>
    <row r="15" customFormat="false" ht="35.05" hidden="false" customHeight="false" outlineLevel="0" collapsed="false">
      <c r="A15" s="7" t="s">
        <v>1074</v>
      </c>
      <c r="B15" s="7" t="s">
        <v>588</v>
      </c>
      <c r="C15" s="7" t="s">
        <v>1029</v>
      </c>
      <c r="D15" s="7" t="s">
        <v>575</v>
      </c>
      <c r="E15" s="7" t="s">
        <v>1075</v>
      </c>
      <c r="F15" s="7" t="s">
        <v>1076</v>
      </c>
      <c r="G15" s="8" t="n">
        <v>0.2</v>
      </c>
      <c r="H15" s="7" t="s">
        <v>1077</v>
      </c>
      <c r="I15" s="7" t="s">
        <v>367</v>
      </c>
      <c r="J15" s="7" t="s">
        <v>568</v>
      </c>
      <c r="K15" s="7" t="s">
        <v>569</v>
      </c>
      <c r="L15" s="7" t="s">
        <v>711</v>
      </c>
      <c r="M15" s="7" t="s">
        <v>368</v>
      </c>
      <c r="N15" s="7" t="s">
        <v>580</v>
      </c>
      <c r="O15" s="7"/>
      <c r="P15" s="7"/>
    </row>
    <row r="16" customFormat="false" ht="46.25" hidden="false" customHeight="false" outlineLevel="0" collapsed="false">
      <c r="A16" s="7" t="s">
        <v>1078</v>
      </c>
      <c r="B16" s="7" t="s">
        <v>1079</v>
      </c>
      <c r="C16" s="7" t="s">
        <v>1029</v>
      </c>
      <c r="D16" s="7" t="s">
        <v>575</v>
      </c>
      <c r="E16" s="7" t="s">
        <v>1080</v>
      </c>
      <c r="F16" s="7" t="s">
        <v>1081</v>
      </c>
      <c r="G16" s="8" t="n">
        <v>0.5</v>
      </c>
      <c r="H16" s="7" t="s">
        <v>1082</v>
      </c>
      <c r="I16" s="7" t="s">
        <v>367</v>
      </c>
      <c r="J16" s="7" t="s">
        <v>568</v>
      </c>
      <c r="K16" s="7" t="s">
        <v>569</v>
      </c>
      <c r="L16" s="7" t="s">
        <v>711</v>
      </c>
      <c r="M16" s="7" t="s">
        <v>368</v>
      </c>
      <c r="N16" s="7" t="s">
        <v>580</v>
      </c>
      <c r="O16" s="7"/>
      <c r="P16" s="7"/>
    </row>
    <row r="17" customFormat="false" ht="46.25" hidden="false" customHeight="false" outlineLevel="0" collapsed="false">
      <c r="A17" s="7" t="s">
        <v>705</v>
      </c>
      <c r="B17" s="7" t="s">
        <v>978</v>
      </c>
      <c r="C17" s="7" t="s">
        <v>1029</v>
      </c>
      <c r="D17" s="7" t="s">
        <v>575</v>
      </c>
      <c r="E17" s="7" t="s">
        <v>1083</v>
      </c>
      <c r="F17" s="7" t="s">
        <v>1084</v>
      </c>
      <c r="G17" s="8" t="n">
        <v>0.7</v>
      </c>
      <c r="H17" s="7" t="s">
        <v>1085</v>
      </c>
      <c r="I17" s="7" t="s">
        <v>367</v>
      </c>
      <c r="J17" s="7" t="s">
        <v>556</v>
      </c>
      <c r="K17" s="7" t="s">
        <v>557</v>
      </c>
      <c r="L17" s="7" t="s">
        <v>703</v>
      </c>
      <c r="M17" s="7" t="s">
        <v>368</v>
      </c>
      <c r="N17" s="7" t="s">
        <v>580</v>
      </c>
      <c r="O17" s="7"/>
      <c r="P17" s="7"/>
    </row>
    <row r="18" customFormat="false" ht="57.45" hidden="false" customHeight="false" outlineLevel="0" collapsed="false">
      <c r="A18" s="7" t="s">
        <v>1086</v>
      </c>
      <c r="B18" s="7" t="s">
        <v>1087</v>
      </c>
      <c r="C18" s="7" t="s">
        <v>1029</v>
      </c>
      <c r="D18" s="7" t="s">
        <v>575</v>
      </c>
      <c r="E18" s="7" t="s">
        <v>1088</v>
      </c>
      <c r="F18" s="7" t="s">
        <v>1089</v>
      </c>
      <c r="G18" s="8" t="n">
        <v>1.5</v>
      </c>
      <c r="H18" s="7" t="s">
        <v>1090</v>
      </c>
      <c r="I18" s="7" t="s">
        <v>367</v>
      </c>
      <c r="J18" s="7" t="s">
        <v>556</v>
      </c>
      <c r="K18" s="7" t="s">
        <v>557</v>
      </c>
      <c r="L18" s="7" t="s">
        <v>707</v>
      </c>
      <c r="M18" s="7" t="s">
        <v>1091</v>
      </c>
      <c r="N18" s="7" t="s">
        <v>580</v>
      </c>
      <c r="O18" s="7"/>
      <c r="P18" s="7"/>
    </row>
    <row r="19" customFormat="false" ht="46.25" hidden="false" customHeight="false" outlineLevel="0" collapsed="false">
      <c r="A19" s="7" t="s">
        <v>1092</v>
      </c>
      <c r="B19" s="7" t="s">
        <v>1093</v>
      </c>
      <c r="C19" s="7" t="s">
        <v>1029</v>
      </c>
      <c r="D19" s="7" t="s">
        <v>575</v>
      </c>
      <c r="E19" s="7" t="s">
        <v>1094</v>
      </c>
      <c r="F19" s="7" t="s">
        <v>1095</v>
      </c>
      <c r="G19" s="8" t="n">
        <v>1</v>
      </c>
      <c r="H19" s="7" t="s">
        <v>1096</v>
      </c>
      <c r="I19" s="7" t="s">
        <v>367</v>
      </c>
      <c r="J19" s="7" t="s">
        <v>556</v>
      </c>
      <c r="K19" s="7" t="s">
        <v>557</v>
      </c>
      <c r="L19" s="7" t="s">
        <v>707</v>
      </c>
      <c r="M19" s="7" t="s">
        <v>1097</v>
      </c>
      <c r="N19" s="7" t="s">
        <v>580</v>
      </c>
      <c r="O19" s="7"/>
      <c r="P19" s="7"/>
    </row>
    <row r="20" customFormat="false" ht="57.45" hidden="false" customHeight="false" outlineLevel="0" collapsed="false">
      <c r="A20" s="7" t="s">
        <v>717</v>
      </c>
      <c r="B20" s="7" t="s">
        <v>981</v>
      </c>
      <c r="C20" s="7" t="s">
        <v>1029</v>
      </c>
      <c r="D20" s="7" t="s">
        <v>575</v>
      </c>
      <c r="E20" s="7" t="s">
        <v>1098</v>
      </c>
      <c r="F20" s="7" t="s">
        <v>1099</v>
      </c>
      <c r="G20" s="8" t="n">
        <v>0.1</v>
      </c>
      <c r="H20" s="7" t="s">
        <v>1100</v>
      </c>
      <c r="I20" s="7" t="s">
        <v>367</v>
      </c>
      <c r="J20" s="7" t="s">
        <v>556</v>
      </c>
      <c r="K20" s="7" t="s">
        <v>557</v>
      </c>
      <c r="L20" s="7" t="s">
        <v>715</v>
      </c>
      <c r="M20" s="7" t="s">
        <v>412</v>
      </c>
      <c r="N20" s="7" t="s">
        <v>580</v>
      </c>
      <c r="O20" s="7"/>
      <c r="P20" s="7"/>
    </row>
    <row r="21" customFormat="false" ht="46.25" hidden="false" customHeight="false" outlineLevel="0" collapsed="false">
      <c r="A21" s="7" t="s">
        <v>725</v>
      </c>
      <c r="B21" s="7" t="s">
        <v>982</v>
      </c>
      <c r="C21" s="7" t="s">
        <v>1029</v>
      </c>
      <c r="D21" s="7" t="s">
        <v>584</v>
      </c>
      <c r="E21" s="7" t="s">
        <v>1101</v>
      </c>
      <c r="F21" s="7" t="s">
        <v>1102</v>
      </c>
      <c r="G21" s="8" t="n">
        <v>0.3</v>
      </c>
      <c r="H21" s="7" t="s">
        <v>1103</v>
      </c>
      <c r="I21" s="7" t="s">
        <v>250</v>
      </c>
      <c r="J21" s="7" t="s">
        <v>568</v>
      </c>
      <c r="K21" s="7" t="s">
        <v>569</v>
      </c>
      <c r="L21" s="7" t="s">
        <v>723</v>
      </c>
      <c r="M21" s="7" t="s">
        <v>589</v>
      </c>
      <c r="N21" s="7" t="s">
        <v>590</v>
      </c>
      <c r="O21" s="7"/>
      <c r="P21" s="7"/>
    </row>
    <row r="22" customFormat="false" ht="46.25" hidden="false" customHeight="false" outlineLevel="0" collapsed="false">
      <c r="A22" s="7" t="s">
        <v>729</v>
      </c>
      <c r="B22" s="7" t="s">
        <v>983</v>
      </c>
      <c r="C22" s="7" t="s">
        <v>1029</v>
      </c>
      <c r="D22" s="7" t="s">
        <v>584</v>
      </c>
      <c r="E22" s="7" t="s">
        <v>1104</v>
      </c>
      <c r="F22" s="7" t="s">
        <v>1105</v>
      </c>
      <c r="G22" s="8" t="n">
        <v>0.2</v>
      </c>
      <c r="H22" s="7" t="s">
        <v>1106</v>
      </c>
      <c r="I22" s="7" t="s">
        <v>347</v>
      </c>
      <c r="J22" s="7" t="s">
        <v>568</v>
      </c>
      <c r="K22" s="7" t="s">
        <v>569</v>
      </c>
      <c r="L22" s="7" t="s">
        <v>727</v>
      </c>
      <c r="M22" s="7" t="s">
        <v>589</v>
      </c>
      <c r="N22" s="7" t="s">
        <v>590</v>
      </c>
      <c r="O22" s="7"/>
      <c r="P22" s="7"/>
    </row>
    <row r="23" customFormat="false" ht="46.25" hidden="false" customHeight="false" outlineLevel="0" collapsed="false">
      <c r="A23" s="7" t="s">
        <v>733</v>
      </c>
      <c r="B23" s="7" t="s">
        <v>984</v>
      </c>
      <c r="C23" s="7" t="s">
        <v>1029</v>
      </c>
      <c r="D23" s="7" t="s">
        <v>584</v>
      </c>
      <c r="E23" s="7" t="s">
        <v>1107</v>
      </c>
      <c r="F23" s="7" t="s">
        <v>1108</v>
      </c>
      <c r="G23" s="8" t="n">
        <v>0.3</v>
      </c>
      <c r="H23" s="7" t="s">
        <v>1109</v>
      </c>
      <c r="I23" s="7" t="s">
        <v>347</v>
      </c>
      <c r="J23" s="7" t="s">
        <v>568</v>
      </c>
      <c r="K23" s="7" t="s">
        <v>569</v>
      </c>
      <c r="L23" s="7" t="s">
        <v>731</v>
      </c>
      <c r="M23" s="7"/>
      <c r="N23" s="7" t="s">
        <v>590</v>
      </c>
      <c r="O23" s="7"/>
      <c r="P23" s="7"/>
    </row>
    <row r="24" customFormat="false" ht="46.25" hidden="false" customHeight="false" outlineLevel="0" collapsed="false">
      <c r="A24" s="7" t="s">
        <v>747</v>
      </c>
      <c r="B24" s="7" t="s">
        <v>986</v>
      </c>
      <c r="C24" s="7" t="s">
        <v>1029</v>
      </c>
      <c r="D24" s="7" t="s">
        <v>584</v>
      </c>
      <c r="E24" s="7" t="s">
        <v>1110</v>
      </c>
      <c r="F24" s="7" t="s">
        <v>1111</v>
      </c>
      <c r="G24" s="8" t="n">
        <v>0.1</v>
      </c>
      <c r="H24" s="7" t="s">
        <v>1112</v>
      </c>
      <c r="I24" s="7" t="s">
        <v>347</v>
      </c>
      <c r="J24" s="7" t="s">
        <v>568</v>
      </c>
      <c r="K24" s="7" t="s">
        <v>569</v>
      </c>
      <c r="L24" s="7" t="s">
        <v>745</v>
      </c>
      <c r="M24" s="7" t="s">
        <v>1113</v>
      </c>
      <c r="N24" s="7" t="s">
        <v>590</v>
      </c>
      <c r="O24" s="7"/>
      <c r="P24" s="7"/>
    </row>
    <row r="25" customFormat="false" ht="57.45" hidden="false" customHeight="false" outlineLevel="0" collapsed="false">
      <c r="A25" s="7" t="s">
        <v>743</v>
      </c>
      <c r="B25" s="7" t="s">
        <v>985</v>
      </c>
      <c r="C25" s="7" t="s">
        <v>1029</v>
      </c>
      <c r="D25" s="7" t="s">
        <v>584</v>
      </c>
      <c r="E25" s="7" t="s">
        <v>1114</v>
      </c>
      <c r="F25" s="7" t="s">
        <v>1115</v>
      </c>
      <c r="G25" s="8" t="n">
        <v>0.1</v>
      </c>
      <c r="H25" s="7" t="s">
        <v>1116</v>
      </c>
      <c r="I25" s="7" t="s">
        <v>347</v>
      </c>
      <c r="J25" s="7" t="s">
        <v>568</v>
      </c>
      <c r="K25" s="7" t="s">
        <v>569</v>
      </c>
      <c r="L25" s="7" t="s">
        <v>741</v>
      </c>
      <c r="M25" s="7" t="s">
        <v>589</v>
      </c>
      <c r="N25" s="7" t="s">
        <v>590</v>
      </c>
      <c r="O25" s="7"/>
      <c r="P25" s="7"/>
    </row>
    <row r="26" customFormat="false" ht="46.25" hidden="false" customHeight="false" outlineLevel="0" collapsed="false">
      <c r="A26" s="7" t="s">
        <v>751</v>
      </c>
      <c r="B26" s="7" t="s">
        <v>987</v>
      </c>
      <c r="C26" s="7" t="s">
        <v>1029</v>
      </c>
      <c r="D26" s="7" t="s">
        <v>584</v>
      </c>
      <c r="E26" s="7" t="s">
        <v>1117</v>
      </c>
      <c r="F26" s="7" t="s">
        <v>1118</v>
      </c>
      <c r="G26" s="8" t="n">
        <v>0.2</v>
      </c>
      <c r="H26" s="7" t="s">
        <v>1119</v>
      </c>
      <c r="I26" s="7" t="s">
        <v>250</v>
      </c>
      <c r="J26" s="7" t="s">
        <v>568</v>
      </c>
      <c r="K26" s="7" t="s">
        <v>569</v>
      </c>
      <c r="L26" s="7" t="s">
        <v>749</v>
      </c>
      <c r="M26" s="7" t="s">
        <v>1120</v>
      </c>
      <c r="N26" s="7" t="s">
        <v>1121</v>
      </c>
      <c r="O26" s="7"/>
      <c r="P26" s="7"/>
    </row>
    <row r="27" customFormat="false" ht="35.05" hidden="false" customHeight="false" outlineLevel="0" collapsed="false">
      <c r="A27" s="7" t="s">
        <v>755</v>
      </c>
      <c r="B27" s="7" t="s">
        <v>988</v>
      </c>
      <c r="C27" s="7" t="s">
        <v>1029</v>
      </c>
      <c r="D27" s="7" t="s">
        <v>584</v>
      </c>
      <c r="E27" s="7" t="s">
        <v>1122</v>
      </c>
      <c r="F27" s="7" t="s">
        <v>1123</v>
      </c>
      <c r="G27" s="8" t="n">
        <v>0.4</v>
      </c>
      <c r="H27" s="7" t="s">
        <v>1124</v>
      </c>
      <c r="I27" s="7" t="s">
        <v>347</v>
      </c>
      <c r="J27" s="7" t="s">
        <v>628</v>
      </c>
      <c r="K27" s="7" t="s">
        <v>569</v>
      </c>
      <c r="L27" s="7" t="s">
        <v>753</v>
      </c>
      <c r="M27" s="7" t="s">
        <v>589</v>
      </c>
      <c r="N27" s="7" t="s">
        <v>590</v>
      </c>
      <c r="O27" s="7"/>
      <c r="P27" s="7"/>
    </row>
    <row r="28" customFormat="false" ht="102.2" hidden="false" customHeight="false" outlineLevel="0" collapsed="false">
      <c r="A28" s="7" t="s">
        <v>1125</v>
      </c>
      <c r="B28" s="7" t="s">
        <v>1126</v>
      </c>
      <c r="C28" s="7" t="s">
        <v>1029</v>
      </c>
      <c r="D28" s="7" t="s">
        <v>584</v>
      </c>
      <c r="E28" s="7" t="s">
        <v>1127</v>
      </c>
      <c r="F28" s="7" t="s">
        <v>1128</v>
      </c>
      <c r="G28" s="8" t="n">
        <v>0.3</v>
      </c>
      <c r="H28" s="7" t="s">
        <v>1129</v>
      </c>
      <c r="I28" s="7" t="s">
        <v>367</v>
      </c>
      <c r="J28" s="7" t="s">
        <v>556</v>
      </c>
      <c r="K28" s="7" t="s">
        <v>557</v>
      </c>
      <c r="L28" s="7" t="s">
        <v>933</v>
      </c>
      <c r="M28" s="7" t="s">
        <v>1130</v>
      </c>
      <c r="N28" s="7" t="s">
        <v>1131</v>
      </c>
      <c r="O28" s="7"/>
      <c r="P28" s="7"/>
    </row>
    <row r="29" customFormat="false" ht="68.65" hidden="false" customHeight="false" outlineLevel="0" collapsed="false">
      <c r="A29" s="7" t="s">
        <v>762</v>
      </c>
      <c r="B29" s="7" t="s">
        <v>989</v>
      </c>
      <c r="C29" s="7" t="s">
        <v>1029</v>
      </c>
      <c r="D29" s="7" t="s">
        <v>584</v>
      </c>
      <c r="E29" s="7" t="s">
        <v>1132</v>
      </c>
      <c r="F29" s="7" t="s">
        <v>1133</v>
      </c>
      <c r="G29" s="8" t="n">
        <v>0.3</v>
      </c>
      <c r="H29" s="7" t="s">
        <v>1134</v>
      </c>
      <c r="I29" s="7" t="s">
        <v>250</v>
      </c>
      <c r="J29" s="7" t="s">
        <v>568</v>
      </c>
      <c r="K29" s="7" t="s">
        <v>569</v>
      </c>
      <c r="L29" s="7" t="s">
        <v>760</v>
      </c>
      <c r="M29" s="7" t="s">
        <v>1135</v>
      </c>
      <c r="N29" s="7" t="s">
        <v>590</v>
      </c>
      <c r="O29" s="7"/>
      <c r="P29" s="7"/>
    </row>
    <row r="30" customFormat="false" ht="46.25" hidden="false" customHeight="false" outlineLevel="0" collapsed="false">
      <c r="A30" s="7" t="s">
        <v>770</v>
      </c>
      <c r="B30" s="7" t="s">
        <v>991</v>
      </c>
      <c r="C30" s="7" t="s">
        <v>1029</v>
      </c>
      <c r="D30" s="7" t="s">
        <v>584</v>
      </c>
      <c r="E30" s="7" t="s">
        <v>1136</v>
      </c>
      <c r="F30" s="7" t="s">
        <v>1137</v>
      </c>
      <c r="G30" s="8" t="n">
        <v>0.2</v>
      </c>
      <c r="H30" s="7" t="s">
        <v>1138</v>
      </c>
      <c r="I30" s="7" t="s">
        <v>347</v>
      </c>
      <c r="J30" s="7" t="s">
        <v>568</v>
      </c>
      <c r="K30" s="7" t="s">
        <v>569</v>
      </c>
      <c r="L30" s="7" t="s">
        <v>768</v>
      </c>
      <c r="M30" s="7" t="s">
        <v>1135</v>
      </c>
      <c r="N30" s="7" t="s">
        <v>1034</v>
      </c>
      <c r="O30" s="7" t="s">
        <v>133</v>
      </c>
      <c r="P30" s="7"/>
    </row>
    <row r="31" customFormat="false" ht="35.05" hidden="false" customHeight="false" outlineLevel="0" collapsed="false">
      <c r="A31" s="7" t="s">
        <v>774</v>
      </c>
      <c r="B31" s="7" t="s">
        <v>992</v>
      </c>
      <c r="C31" s="7" t="s">
        <v>1029</v>
      </c>
      <c r="D31" s="7" t="s">
        <v>584</v>
      </c>
      <c r="E31" s="7" t="s">
        <v>1139</v>
      </c>
      <c r="F31" s="7" t="s">
        <v>1140</v>
      </c>
      <c r="G31" s="8" t="n">
        <v>0.3</v>
      </c>
      <c r="H31" s="7" t="s">
        <v>1141</v>
      </c>
      <c r="I31" s="7" t="s">
        <v>250</v>
      </c>
      <c r="J31" s="7" t="s">
        <v>568</v>
      </c>
      <c r="K31" s="7" t="s">
        <v>569</v>
      </c>
      <c r="L31" s="7" t="s">
        <v>772</v>
      </c>
      <c r="M31" s="7" t="s">
        <v>1135</v>
      </c>
      <c r="N31" s="7" t="s">
        <v>1142</v>
      </c>
      <c r="O31" s="7"/>
      <c r="P31" s="7"/>
    </row>
    <row r="32" customFormat="false" ht="57.45" hidden="false" customHeight="false" outlineLevel="0" collapsed="false">
      <c r="A32" s="7" t="s">
        <v>791</v>
      </c>
      <c r="B32" s="7" t="s">
        <v>994</v>
      </c>
      <c r="C32" s="7" t="s">
        <v>1029</v>
      </c>
      <c r="D32" s="7" t="s">
        <v>584</v>
      </c>
      <c r="E32" s="7" t="s">
        <v>1143</v>
      </c>
      <c r="F32" s="7" t="s">
        <v>1144</v>
      </c>
      <c r="G32" s="8" t="n">
        <v>3.4</v>
      </c>
      <c r="H32" s="7" t="s">
        <v>1145</v>
      </c>
      <c r="I32" s="7" t="s">
        <v>367</v>
      </c>
      <c r="J32" s="7" t="s">
        <v>556</v>
      </c>
      <c r="K32" s="7" t="s">
        <v>557</v>
      </c>
      <c r="L32" s="7" t="s">
        <v>789</v>
      </c>
      <c r="M32" s="7" t="s">
        <v>1146</v>
      </c>
      <c r="N32" s="7" t="s">
        <v>590</v>
      </c>
      <c r="O32" s="7"/>
      <c r="P32" s="7"/>
    </row>
    <row r="33" customFormat="false" ht="46.25" hidden="false" customHeight="false" outlineLevel="0" collapsed="false">
      <c r="A33" s="7" t="s">
        <v>781</v>
      </c>
      <c r="B33" s="7" t="s">
        <v>993</v>
      </c>
      <c r="C33" s="7" t="s">
        <v>1029</v>
      </c>
      <c r="D33" s="7" t="s">
        <v>584</v>
      </c>
      <c r="E33" s="7" t="s">
        <v>1147</v>
      </c>
      <c r="F33" s="7" t="s">
        <v>1148</v>
      </c>
      <c r="G33" s="8" t="n">
        <v>0.3</v>
      </c>
      <c r="H33" s="7" t="s">
        <v>1149</v>
      </c>
      <c r="I33" s="7" t="s">
        <v>250</v>
      </c>
      <c r="J33" s="7" t="s">
        <v>568</v>
      </c>
      <c r="K33" s="7" t="s">
        <v>569</v>
      </c>
      <c r="L33" s="7" t="s">
        <v>779</v>
      </c>
      <c r="M33" s="7" t="s">
        <v>1150</v>
      </c>
      <c r="N33" s="7" t="s">
        <v>1034</v>
      </c>
      <c r="O33" s="7" t="s">
        <v>133</v>
      </c>
      <c r="P33" s="7"/>
    </row>
    <row r="34" customFormat="false" ht="46.25" hidden="false" customHeight="false" outlineLevel="0" collapsed="false">
      <c r="A34" s="7" t="s">
        <v>799</v>
      </c>
      <c r="B34" s="7" t="s">
        <v>995</v>
      </c>
      <c r="C34" s="7" t="s">
        <v>1029</v>
      </c>
      <c r="D34" s="7" t="s">
        <v>594</v>
      </c>
      <c r="E34" s="7" t="s">
        <v>1151</v>
      </c>
      <c r="F34" s="7" t="s">
        <v>1152</v>
      </c>
      <c r="G34" s="8" t="n">
        <v>0.3</v>
      </c>
      <c r="H34" s="7" t="s">
        <v>1153</v>
      </c>
      <c r="I34" s="7" t="s">
        <v>598</v>
      </c>
      <c r="J34" s="7" t="s">
        <v>568</v>
      </c>
      <c r="K34" s="7" t="s">
        <v>569</v>
      </c>
      <c r="L34" s="7" t="s">
        <v>797</v>
      </c>
      <c r="M34" s="7" t="s">
        <v>1154</v>
      </c>
      <c r="N34" s="7" t="s">
        <v>601</v>
      </c>
      <c r="O34" s="7"/>
      <c r="P34" s="7"/>
    </row>
    <row r="35" customFormat="false" ht="68.65" hidden="false" customHeight="false" outlineLevel="0" collapsed="false">
      <c r="A35" s="7" t="s">
        <v>1155</v>
      </c>
      <c r="B35" s="7" t="s">
        <v>1156</v>
      </c>
      <c r="C35" s="7" t="s">
        <v>1029</v>
      </c>
      <c r="D35" s="7" t="s">
        <v>594</v>
      </c>
      <c r="E35" s="7" t="s">
        <v>1157</v>
      </c>
      <c r="F35" s="7" t="s">
        <v>1158</v>
      </c>
      <c r="G35" s="8" t="n">
        <v>0.3</v>
      </c>
      <c r="H35" s="7" t="s">
        <v>1159</v>
      </c>
      <c r="I35" s="7" t="s">
        <v>598</v>
      </c>
      <c r="J35" s="7" t="s">
        <v>556</v>
      </c>
      <c r="K35" s="7" t="s">
        <v>557</v>
      </c>
      <c r="L35" s="7" t="s">
        <v>933</v>
      </c>
      <c r="M35" s="7" t="s">
        <v>1160</v>
      </c>
      <c r="N35" s="7" t="s">
        <v>1161</v>
      </c>
      <c r="O35" s="7"/>
      <c r="P35" s="7"/>
    </row>
    <row r="36" customFormat="false" ht="46.25" hidden="false" customHeight="false" outlineLevel="0" collapsed="false">
      <c r="A36" s="7" t="s">
        <v>803</v>
      </c>
      <c r="B36" s="7" t="s">
        <v>996</v>
      </c>
      <c r="C36" s="7" t="s">
        <v>1029</v>
      </c>
      <c r="D36" s="7" t="s">
        <v>594</v>
      </c>
      <c r="E36" s="7" t="s">
        <v>1162</v>
      </c>
      <c r="F36" s="7" t="s">
        <v>1163</v>
      </c>
      <c r="G36" s="8" t="n">
        <v>0.6</v>
      </c>
      <c r="H36" s="7" t="s">
        <v>1164</v>
      </c>
      <c r="I36" s="7" t="s">
        <v>598</v>
      </c>
      <c r="J36" s="7" t="s">
        <v>556</v>
      </c>
      <c r="K36" s="7" t="s">
        <v>557</v>
      </c>
      <c r="L36" s="7" t="s">
        <v>801</v>
      </c>
      <c r="M36" s="7" t="s">
        <v>1154</v>
      </c>
      <c r="N36" s="7" t="s">
        <v>601</v>
      </c>
      <c r="O36" s="7"/>
      <c r="P36" s="7"/>
    </row>
    <row r="37" customFormat="false" ht="91" hidden="false" customHeight="false" outlineLevel="0" collapsed="false">
      <c r="A37" s="7" t="s">
        <v>1165</v>
      </c>
      <c r="B37" s="7" t="s">
        <v>1166</v>
      </c>
      <c r="C37" s="7" t="s">
        <v>1029</v>
      </c>
      <c r="D37" s="7" t="s">
        <v>594</v>
      </c>
      <c r="E37" s="7" t="s">
        <v>1167</v>
      </c>
      <c r="F37" s="7" t="s">
        <v>1168</v>
      </c>
      <c r="G37" s="8" t="n">
        <v>0.3</v>
      </c>
      <c r="H37" s="7" t="s">
        <v>1169</v>
      </c>
      <c r="I37" s="7" t="s">
        <v>523</v>
      </c>
      <c r="J37" s="7" t="s">
        <v>556</v>
      </c>
      <c r="K37" s="7" t="s">
        <v>557</v>
      </c>
      <c r="L37" s="7" t="s">
        <v>808</v>
      </c>
      <c r="M37" s="7" t="s">
        <v>1170</v>
      </c>
      <c r="N37" s="7" t="s">
        <v>601</v>
      </c>
      <c r="O37" s="7"/>
      <c r="P37" s="7"/>
    </row>
    <row r="38" customFormat="false" ht="79.85" hidden="false" customHeight="false" outlineLevel="0" collapsed="false">
      <c r="A38" s="7" t="s">
        <v>1171</v>
      </c>
      <c r="B38" s="7" t="s">
        <v>1172</v>
      </c>
      <c r="C38" s="7" t="s">
        <v>1029</v>
      </c>
      <c r="D38" s="7" t="s">
        <v>594</v>
      </c>
      <c r="E38" s="7" t="s">
        <v>1173</v>
      </c>
      <c r="F38" s="7" t="s">
        <v>1174</v>
      </c>
      <c r="G38" s="8" t="n">
        <v>0.3</v>
      </c>
      <c r="H38" s="7" t="s">
        <v>1175</v>
      </c>
      <c r="I38" s="7" t="s">
        <v>523</v>
      </c>
      <c r="J38" s="7" t="s">
        <v>556</v>
      </c>
      <c r="K38" s="7" t="s">
        <v>557</v>
      </c>
      <c r="L38" s="7" t="s">
        <v>808</v>
      </c>
      <c r="M38" s="7" t="s">
        <v>1176</v>
      </c>
      <c r="N38" s="7" t="s">
        <v>601</v>
      </c>
      <c r="O38" s="7"/>
      <c r="P38" s="7"/>
    </row>
    <row r="39" customFormat="false" ht="91" hidden="false" customHeight="false" outlineLevel="0" collapsed="false">
      <c r="A39" s="7" t="s">
        <v>814</v>
      </c>
      <c r="B39" s="7" t="s">
        <v>998</v>
      </c>
      <c r="C39" s="7" t="s">
        <v>1029</v>
      </c>
      <c r="D39" s="7" t="s">
        <v>594</v>
      </c>
      <c r="E39" s="7" t="s">
        <v>1177</v>
      </c>
      <c r="F39" s="7" t="s">
        <v>1178</v>
      </c>
      <c r="G39" s="8" t="n">
        <v>0.1</v>
      </c>
      <c r="H39" s="7" t="s">
        <v>1179</v>
      </c>
      <c r="I39" s="7" t="s">
        <v>523</v>
      </c>
      <c r="J39" s="7" t="s">
        <v>556</v>
      </c>
      <c r="K39" s="7" t="s">
        <v>557</v>
      </c>
      <c r="L39" s="7" t="s">
        <v>812</v>
      </c>
      <c r="M39" s="7" t="s">
        <v>609</v>
      </c>
      <c r="N39" s="7" t="s">
        <v>601</v>
      </c>
      <c r="O39" s="7"/>
      <c r="P39" s="7"/>
    </row>
    <row r="40" customFormat="false" ht="102.2" hidden="false" customHeight="false" outlineLevel="0" collapsed="false">
      <c r="A40" s="7" t="s">
        <v>818</v>
      </c>
      <c r="B40" s="7" t="s">
        <v>999</v>
      </c>
      <c r="C40" s="7" t="s">
        <v>1029</v>
      </c>
      <c r="D40" s="7" t="s">
        <v>594</v>
      </c>
      <c r="E40" s="7" t="s">
        <v>1180</v>
      </c>
      <c r="F40" s="7" t="s">
        <v>1181</v>
      </c>
      <c r="G40" s="8" t="n">
        <v>0.1</v>
      </c>
      <c r="H40" s="7" t="s">
        <v>1182</v>
      </c>
      <c r="I40" s="7" t="s">
        <v>523</v>
      </c>
      <c r="J40" s="7" t="s">
        <v>556</v>
      </c>
      <c r="K40" s="7" t="s">
        <v>557</v>
      </c>
      <c r="L40" s="7" t="s">
        <v>816</v>
      </c>
      <c r="M40" s="7" t="s">
        <v>609</v>
      </c>
      <c r="N40" s="7" t="s">
        <v>601</v>
      </c>
      <c r="O40" s="7"/>
      <c r="P40" s="7"/>
    </row>
    <row r="41" customFormat="false" ht="91" hidden="false" customHeight="false" outlineLevel="0" collapsed="false">
      <c r="A41" s="7" t="s">
        <v>1183</v>
      </c>
      <c r="B41" s="7" t="s">
        <v>617</v>
      </c>
      <c r="C41" s="7" t="s">
        <v>1029</v>
      </c>
      <c r="D41" s="7" t="s">
        <v>1184</v>
      </c>
      <c r="E41" s="7" t="s">
        <v>1185</v>
      </c>
      <c r="F41" s="7" t="s">
        <v>1186</v>
      </c>
      <c r="G41" s="8" t="n">
        <v>0.3</v>
      </c>
      <c r="H41" s="7" t="s">
        <v>1187</v>
      </c>
      <c r="I41" s="7" t="s">
        <v>523</v>
      </c>
      <c r="J41" s="7" t="s">
        <v>568</v>
      </c>
      <c r="K41" s="7" t="s">
        <v>569</v>
      </c>
      <c r="L41" s="7" t="s">
        <v>820</v>
      </c>
      <c r="M41" s="7" t="s">
        <v>1188</v>
      </c>
      <c r="N41" s="7" t="s">
        <v>1189</v>
      </c>
      <c r="O41" s="7"/>
      <c r="P41" s="7"/>
    </row>
    <row r="42" customFormat="false" ht="91" hidden="false" customHeight="false" outlineLevel="0" collapsed="false">
      <c r="A42" s="7" t="s">
        <v>1190</v>
      </c>
      <c r="B42" s="7" t="s">
        <v>1191</v>
      </c>
      <c r="C42" s="7" t="s">
        <v>1029</v>
      </c>
      <c r="D42" s="7" t="s">
        <v>1184</v>
      </c>
      <c r="E42" s="7" t="s">
        <v>1192</v>
      </c>
      <c r="F42" s="7" t="s">
        <v>1186</v>
      </c>
      <c r="G42" s="8" t="n">
        <v>0.3</v>
      </c>
      <c r="H42" s="7" t="s">
        <v>1193</v>
      </c>
      <c r="I42" s="7" t="s">
        <v>523</v>
      </c>
      <c r="J42" s="7" t="s">
        <v>568</v>
      </c>
      <c r="K42" s="7" t="s">
        <v>569</v>
      </c>
      <c r="L42" s="7" t="s">
        <v>820</v>
      </c>
      <c r="M42" s="7" t="s">
        <v>1188</v>
      </c>
      <c r="N42" s="7" t="s">
        <v>1189</v>
      </c>
      <c r="O42" s="7"/>
      <c r="P42" s="7"/>
    </row>
    <row r="43" customFormat="false" ht="68.65" hidden="false" customHeight="false" outlineLevel="0" collapsed="false">
      <c r="A43" s="7" t="s">
        <v>1194</v>
      </c>
      <c r="B43" s="7" t="s">
        <v>884</v>
      </c>
      <c r="C43" s="7" t="s">
        <v>1029</v>
      </c>
      <c r="D43" s="7" t="s">
        <v>1184</v>
      </c>
      <c r="E43" s="7" t="s">
        <v>1195</v>
      </c>
      <c r="F43" s="7" t="s">
        <v>1196</v>
      </c>
      <c r="G43" s="8" t="n">
        <v>0.7</v>
      </c>
      <c r="H43" s="7" t="s">
        <v>1197</v>
      </c>
      <c r="I43" s="7" t="s">
        <v>250</v>
      </c>
      <c r="J43" s="7" t="s">
        <v>568</v>
      </c>
      <c r="K43" s="7" t="s">
        <v>569</v>
      </c>
      <c r="L43" s="7" t="s">
        <v>820</v>
      </c>
      <c r="M43" s="7" t="s">
        <v>1198</v>
      </c>
      <c r="N43" s="7" t="s">
        <v>1189</v>
      </c>
      <c r="O43" s="7"/>
      <c r="P43" s="7"/>
    </row>
    <row r="44" customFormat="false" ht="135.8" hidden="false" customHeight="false" outlineLevel="0" collapsed="false">
      <c r="A44" s="7" t="s">
        <v>827</v>
      </c>
      <c r="B44" s="7" t="s">
        <v>1001</v>
      </c>
      <c r="C44" s="7" t="s">
        <v>1029</v>
      </c>
      <c r="D44" s="7" t="s">
        <v>1184</v>
      </c>
      <c r="E44" s="7" t="s">
        <v>1199</v>
      </c>
      <c r="F44" s="7" t="s">
        <v>1200</v>
      </c>
      <c r="G44" s="8" t="n">
        <v>0.7</v>
      </c>
      <c r="H44" s="7" t="s">
        <v>1201</v>
      </c>
      <c r="I44" s="7" t="s">
        <v>627</v>
      </c>
      <c r="J44" s="7" t="s">
        <v>568</v>
      </c>
      <c r="K44" s="7" t="s">
        <v>569</v>
      </c>
      <c r="L44" s="7" t="s">
        <v>825</v>
      </c>
      <c r="M44" s="7" t="s">
        <v>1188</v>
      </c>
      <c r="N44" s="7" t="s">
        <v>1189</v>
      </c>
      <c r="O44" s="7"/>
      <c r="P44" s="7"/>
    </row>
    <row r="45" customFormat="false" ht="46.25" hidden="false" customHeight="false" outlineLevel="0" collapsed="false">
      <c r="A45" s="7" t="s">
        <v>831</v>
      </c>
      <c r="B45" s="7" t="s">
        <v>888</v>
      </c>
      <c r="C45" s="7" t="s">
        <v>1029</v>
      </c>
      <c r="D45" s="7" t="s">
        <v>1184</v>
      </c>
      <c r="E45" s="7" t="s">
        <v>1202</v>
      </c>
      <c r="F45" s="7" t="s">
        <v>1203</v>
      </c>
      <c r="G45" s="8" t="n">
        <v>0.4</v>
      </c>
      <c r="H45" s="7" t="s">
        <v>1204</v>
      </c>
      <c r="I45" s="7" t="s">
        <v>347</v>
      </c>
      <c r="J45" s="7" t="s">
        <v>568</v>
      </c>
      <c r="K45" s="7" t="s">
        <v>569</v>
      </c>
      <c r="L45" s="7" t="s">
        <v>829</v>
      </c>
      <c r="M45" s="7" t="s">
        <v>1205</v>
      </c>
      <c r="N45" s="7" t="s">
        <v>1206</v>
      </c>
      <c r="O45" s="7"/>
      <c r="P45" s="7"/>
    </row>
    <row r="46" customFormat="false" ht="393.25" hidden="false" customHeight="false" outlineLevel="0" collapsed="false">
      <c r="A46" s="7" t="s">
        <v>836</v>
      </c>
      <c r="B46" s="7" t="s">
        <v>1002</v>
      </c>
      <c r="C46" s="7" t="s">
        <v>1029</v>
      </c>
      <c r="D46" s="7" t="s">
        <v>1207</v>
      </c>
      <c r="E46" s="7" t="s">
        <v>1208</v>
      </c>
      <c r="F46" s="7" t="s">
        <v>1209</v>
      </c>
      <c r="G46" s="8" t="n">
        <v>0.1</v>
      </c>
      <c r="H46" s="7" t="s">
        <v>1210</v>
      </c>
      <c r="I46" s="7" t="s">
        <v>367</v>
      </c>
      <c r="J46" s="7" t="s">
        <v>568</v>
      </c>
      <c r="K46" s="7" t="s">
        <v>569</v>
      </c>
      <c r="L46" s="7" t="s">
        <v>833</v>
      </c>
      <c r="M46" s="7" t="s">
        <v>1211</v>
      </c>
      <c r="N46" s="7" t="s">
        <v>1142</v>
      </c>
      <c r="O46" s="7"/>
      <c r="P46" s="7"/>
    </row>
    <row r="47" customFormat="false" ht="393.25" hidden="false" customHeight="false" outlineLevel="0" collapsed="false">
      <c r="A47" s="7" t="s">
        <v>1212</v>
      </c>
      <c r="B47" s="7" t="s">
        <v>1213</v>
      </c>
      <c r="C47" s="7" t="s">
        <v>1029</v>
      </c>
      <c r="D47" s="7" t="s">
        <v>1207</v>
      </c>
      <c r="E47" s="7" t="s">
        <v>1214</v>
      </c>
      <c r="F47" s="7" t="s">
        <v>1209</v>
      </c>
      <c r="G47" s="8" t="n">
        <v>0.3</v>
      </c>
      <c r="H47" s="7" t="s">
        <v>1215</v>
      </c>
      <c r="I47" s="7" t="s">
        <v>367</v>
      </c>
      <c r="J47" s="7" t="s">
        <v>568</v>
      </c>
      <c r="K47" s="7" t="s">
        <v>569</v>
      </c>
      <c r="L47" s="7" t="s">
        <v>933</v>
      </c>
      <c r="M47" s="7" t="s">
        <v>1216</v>
      </c>
      <c r="N47" s="7" t="s">
        <v>1142</v>
      </c>
      <c r="O47" s="7"/>
      <c r="P47" s="7"/>
    </row>
    <row r="48" customFormat="false" ht="393.25" hidden="false" customHeight="false" outlineLevel="0" collapsed="false">
      <c r="A48" s="7" t="s">
        <v>1217</v>
      </c>
      <c r="B48" s="7" t="s">
        <v>1218</v>
      </c>
      <c r="C48" s="7" t="s">
        <v>1029</v>
      </c>
      <c r="D48" s="7" t="s">
        <v>1207</v>
      </c>
      <c r="E48" s="7" t="s">
        <v>1219</v>
      </c>
      <c r="F48" s="7" t="s">
        <v>1209</v>
      </c>
      <c r="G48" s="8" t="n">
        <v>0.3</v>
      </c>
      <c r="H48" s="7" t="s">
        <v>1220</v>
      </c>
      <c r="I48" s="7" t="s">
        <v>367</v>
      </c>
      <c r="J48" s="7" t="s">
        <v>568</v>
      </c>
      <c r="K48" s="7" t="s">
        <v>569</v>
      </c>
      <c r="L48" s="7" t="s">
        <v>933</v>
      </c>
      <c r="M48" s="7" t="s">
        <v>1211</v>
      </c>
      <c r="N48" s="7" t="s">
        <v>1142</v>
      </c>
      <c r="O48" s="7"/>
      <c r="P48" s="7"/>
    </row>
    <row r="49" customFormat="false" ht="46.25" hidden="false" customHeight="false" outlineLevel="0" collapsed="false">
      <c r="A49" s="7" t="s">
        <v>843</v>
      </c>
      <c r="B49" s="7" t="s">
        <v>1003</v>
      </c>
      <c r="C49" s="7" t="s">
        <v>1029</v>
      </c>
      <c r="D49" s="7" t="s">
        <v>1207</v>
      </c>
      <c r="E49" s="7" t="s">
        <v>1221</v>
      </c>
      <c r="F49" s="7" t="s">
        <v>1222</v>
      </c>
      <c r="G49" s="8" t="n">
        <v>1.4</v>
      </c>
      <c r="H49" s="7" t="s">
        <v>1223</v>
      </c>
      <c r="I49" s="7" t="s">
        <v>367</v>
      </c>
      <c r="J49" s="7" t="s">
        <v>556</v>
      </c>
      <c r="K49" s="7" t="s">
        <v>557</v>
      </c>
      <c r="L49" s="7" t="s">
        <v>841</v>
      </c>
      <c r="M49" s="7" t="s">
        <v>1211</v>
      </c>
      <c r="N49" s="7" t="s">
        <v>1142</v>
      </c>
      <c r="O49" s="7"/>
      <c r="P49" s="7"/>
    </row>
    <row r="50" customFormat="false" ht="46.25" hidden="false" customHeight="false" outlineLevel="0" collapsed="false">
      <c r="A50" s="7" t="s">
        <v>1224</v>
      </c>
      <c r="B50" s="7" t="s">
        <v>904</v>
      </c>
      <c r="C50" s="7" t="s">
        <v>1029</v>
      </c>
      <c r="D50" s="7" t="s">
        <v>1207</v>
      </c>
      <c r="E50" s="7" t="s">
        <v>1225</v>
      </c>
      <c r="F50" s="7" t="s">
        <v>1226</v>
      </c>
      <c r="G50" s="8" t="n">
        <v>0.1</v>
      </c>
      <c r="H50" s="7" t="s">
        <v>1227</v>
      </c>
      <c r="I50" s="7" t="s">
        <v>367</v>
      </c>
      <c r="J50" s="7" t="s">
        <v>568</v>
      </c>
      <c r="K50" s="7" t="s">
        <v>569</v>
      </c>
      <c r="L50" s="7" t="s">
        <v>845</v>
      </c>
      <c r="M50" s="7" t="s">
        <v>1228</v>
      </c>
      <c r="N50" s="7" t="s">
        <v>1229</v>
      </c>
      <c r="O50" s="7"/>
      <c r="P50" s="7"/>
    </row>
    <row r="51" customFormat="false" ht="124.6" hidden="false" customHeight="false" outlineLevel="0" collapsed="false">
      <c r="A51" s="7" t="s">
        <v>1230</v>
      </c>
      <c r="B51" s="7" t="s">
        <v>1231</v>
      </c>
      <c r="C51" s="7" t="s">
        <v>1029</v>
      </c>
      <c r="D51" s="7" t="s">
        <v>1207</v>
      </c>
      <c r="E51" s="7" t="s">
        <v>1232</v>
      </c>
      <c r="F51" s="7" t="s">
        <v>1233</v>
      </c>
      <c r="G51" s="8" t="n">
        <v>0.1</v>
      </c>
      <c r="H51" s="7" t="s">
        <v>1234</v>
      </c>
      <c r="I51" s="7" t="s">
        <v>250</v>
      </c>
      <c r="J51" s="7" t="s">
        <v>556</v>
      </c>
      <c r="K51" s="7" t="s">
        <v>557</v>
      </c>
      <c r="L51" s="7" t="s">
        <v>845</v>
      </c>
      <c r="M51" s="7" t="s">
        <v>1228</v>
      </c>
      <c r="N51" s="7" t="s">
        <v>1229</v>
      </c>
      <c r="O51" s="7"/>
      <c r="P51" s="7"/>
    </row>
    <row r="52" customFormat="false" ht="124.6" hidden="false" customHeight="false" outlineLevel="0" collapsed="false">
      <c r="A52" s="7" t="s">
        <v>854</v>
      </c>
      <c r="B52" s="7" t="s">
        <v>913</v>
      </c>
      <c r="C52" s="7" t="s">
        <v>1029</v>
      </c>
      <c r="D52" s="7" t="s">
        <v>1207</v>
      </c>
      <c r="E52" s="7" t="s">
        <v>1235</v>
      </c>
      <c r="F52" s="7" t="s">
        <v>1233</v>
      </c>
      <c r="G52" s="8" t="n">
        <v>0.3</v>
      </c>
      <c r="H52" s="7" t="s">
        <v>1236</v>
      </c>
      <c r="I52" s="7" t="s">
        <v>250</v>
      </c>
      <c r="J52" s="7" t="s">
        <v>568</v>
      </c>
      <c r="K52" s="7" t="s">
        <v>569</v>
      </c>
      <c r="L52" s="7" t="s">
        <v>852</v>
      </c>
      <c r="M52" s="7" t="s">
        <v>1237</v>
      </c>
      <c r="N52" s="7" t="s">
        <v>1229</v>
      </c>
      <c r="O52" s="7"/>
      <c r="P52" s="7"/>
    </row>
    <row r="53" customFormat="false" ht="135.8" hidden="false" customHeight="false" outlineLevel="0" collapsed="false">
      <c r="A53" s="7" t="s">
        <v>1238</v>
      </c>
      <c r="B53" s="7" t="s">
        <v>1239</v>
      </c>
      <c r="C53" s="7" t="s">
        <v>1029</v>
      </c>
      <c r="D53" s="7" t="s">
        <v>1207</v>
      </c>
      <c r="E53" s="7" t="s">
        <v>1240</v>
      </c>
      <c r="F53" s="7" t="s">
        <v>1241</v>
      </c>
      <c r="G53" s="8" t="n">
        <v>0.5</v>
      </c>
      <c r="H53" s="7" t="s">
        <v>1242</v>
      </c>
      <c r="I53" s="7" t="s">
        <v>367</v>
      </c>
      <c r="J53" s="7" t="s">
        <v>568</v>
      </c>
      <c r="K53" s="7" t="s">
        <v>569</v>
      </c>
      <c r="L53" s="7" t="s">
        <v>856</v>
      </c>
      <c r="M53" s="7" t="s">
        <v>1243</v>
      </c>
      <c r="N53" s="7" t="s">
        <v>1244</v>
      </c>
      <c r="O53" s="7"/>
      <c r="P53" s="7"/>
    </row>
    <row r="54" customFormat="false" ht="68.65" hidden="false" customHeight="false" outlineLevel="0" collapsed="false">
      <c r="A54" s="7" t="s">
        <v>1245</v>
      </c>
      <c r="B54" s="7" t="s">
        <v>929</v>
      </c>
      <c r="C54" s="7" t="s">
        <v>1029</v>
      </c>
      <c r="D54" s="7" t="s">
        <v>1207</v>
      </c>
      <c r="E54" s="7" t="s">
        <v>1246</v>
      </c>
      <c r="F54" s="7" t="s">
        <v>1247</v>
      </c>
      <c r="G54" s="8" t="n">
        <v>0.9</v>
      </c>
      <c r="H54" s="7" t="s">
        <v>1248</v>
      </c>
      <c r="I54" s="7" t="s">
        <v>523</v>
      </c>
      <c r="J54" s="7" t="s">
        <v>556</v>
      </c>
      <c r="K54" s="7" t="s">
        <v>1249</v>
      </c>
      <c r="L54" s="7" t="s">
        <v>856</v>
      </c>
      <c r="M54" s="7" t="s">
        <v>1211</v>
      </c>
      <c r="N54" s="7" t="s">
        <v>1244</v>
      </c>
      <c r="O54" s="7"/>
      <c r="P54" s="7"/>
    </row>
    <row r="55" customFormat="false" ht="236.55" hidden="false" customHeight="false" outlineLevel="0" collapsed="false">
      <c r="A55" s="7" t="s">
        <v>866</v>
      </c>
      <c r="B55" s="7" t="s">
        <v>940</v>
      </c>
      <c r="C55" s="7" t="s">
        <v>1029</v>
      </c>
      <c r="D55" s="7" t="s">
        <v>613</v>
      </c>
      <c r="E55" s="7" t="s">
        <v>1250</v>
      </c>
      <c r="F55" s="7" t="s">
        <v>1251</v>
      </c>
      <c r="G55" s="8" t="n">
        <v>0.2</v>
      </c>
      <c r="H55" s="7" t="s">
        <v>1252</v>
      </c>
      <c r="I55" s="7" t="s">
        <v>523</v>
      </c>
      <c r="J55" s="7" t="s">
        <v>568</v>
      </c>
      <c r="K55" s="7" t="s">
        <v>569</v>
      </c>
      <c r="L55" s="7" t="s">
        <v>864</v>
      </c>
      <c r="M55" s="7" t="s">
        <v>618</v>
      </c>
      <c r="N55" s="7" t="s">
        <v>619</v>
      </c>
      <c r="O55" s="7"/>
      <c r="P55" s="7"/>
    </row>
    <row r="56" customFormat="false" ht="169.4" hidden="false" customHeight="false" outlineLevel="0" collapsed="false">
      <c r="A56" s="7" t="s">
        <v>870</v>
      </c>
      <c r="B56" s="7" t="s">
        <v>944</v>
      </c>
      <c r="C56" s="7" t="s">
        <v>1029</v>
      </c>
      <c r="D56" s="7" t="s">
        <v>613</v>
      </c>
      <c r="E56" s="7" t="s">
        <v>1253</v>
      </c>
      <c r="F56" s="7" t="s">
        <v>1254</v>
      </c>
      <c r="G56" s="8" t="n">
        <v>0.2</v>
      </c>
      <c r="H56" s="7" t="s">
        <v>1255</v>
      </c>
      <c r="I56" s="7" t="s">
        <v>523</v>
      </c>
      <c r="J56" s="7" t="s">
        <v>568</v>
      </c>
      <c r="K56" s="7" t="s">
        <v>569</v>
      </c>
      <c r="L56" s="7" t="s">
        <v>868</v>
      </c>
      <c r="M56" s="7" t="s">
        <v>618</v>
      </c>
      <c r="N56" s="7" t="s">
        <v>619</v>
      </c>
      <c r="O56" s="7"/>
      <c r="P56" s="7"/>
    </row>
    <row r="57" customFormat="false" ht="169.4" hidden="false" customHeight="false" outlineLevel="0" collapsed="false">
      <c r="A57" s="7" t="s">
        <v>878</v>
      </c>
      <c r="B57" s="7" t="s">
        <v>960</v>
      </c>
      <c r="C57" s="7" t="s">
        <v>1029</v>
      </c>
      <c r="D57" s="7" t="s">
        <v>613</v>
      </c>
      <c r="E57" s="7" t="s">
        <v>1256</v>
      </c>
      <c r="F57" s="7" t="s">
        <v>1254</v>
      </c>
      <c r="G57" s="8" t="n">
        <v>0.4</v>
      </c>
      <c r="H57" s="7" t="s">
        <v>1257</v>
      </c>
      <c r="I57" s="7" t="s">
        <v>523</v>
      </c>
      <c r="J57" s="7" t="s">
        <v>568</v>
      </c>
      <c r="K57" s="7" t="s">
        <v>569</v>
      </c>
      <c r="L57" s="7" t="s">
        <v>876</v>
      </c>
      <c r="M57" s="7" t="s">
        <v>1258</v>
      </c>
      <c r="N57" s="7" t="s">
        <v>619</v>
      </c>
      <c r="O57" s="7"/>
      <c r="P57" s="7"/>
    </row>
    <row r="58" customFormat="false" ht="169.4" hidden="false" customHeight="false" outlineLevel="0" collapsed="false">
      <c r="A58" s="7" t="s">
        <v>882</v>
      </c>
      <c r="B58" s="7" t="s">
        <v>963</v>
      </c>
      <c r="C58" s="7" t="s">
        <v>1029</v>
      </c>
      <c r="D58" s="7" t="s">
        <v>613</v>
      </c>
      <c r="E58" s="7" t="s">
        <v>1259</v>
      </c>
      <c r="F58" s="7" t="s">
        <v>1254</v>
      </c>
      <c r="G58" s="8" t="n">
        <v>0.4</v>
      </c>
      <c r="H58" s="7" t="s">
        <v>1260</v>
      </c>
      <c r="I58" s="7" t="s">
        <v>523</v>
      </c>
      <c r="J58" s="7" t="s">
        <v>568</v>
      </c>
      <c r="K58" s="7" t="s">
        <v>569</v>
      </c>
      <c r="L58" s="7" t="s">
        <v>880</v>
      </c>
      <c r="M58" s="7" t="s">
        <v>618</v>
      </c>
      <c r="N58" s="7" t="s">
        <v>619</v>
      </c>
      <c r="O58" s="7"/>
      <c r="P58" s="7"/>
    </row>
    <row r="59" customFormat="false" ht="23.85" hidden="false" customHeight="false" outlineLevel="0" collapsed="false">
      <c r="A59" s="7" t="s">
        <v>874</v>
      </c>
      <c r="B59" s="7" t="s">
        <v>1006</v>
      </c>
      <c r="C59" s="7" t="s">
        <v>1029</v>
      </c>
      <c r="D59" s="7" t="s">
        <v>613</v>
      </c>
      <c r="E59" s="7" t="s">
        <v>1261</v>
      </c>
      <c r="F59" s="7" t="s">
        <v>1262</v>
      </c>
      <c r="G59" s="8" t="n">
        <v>0.3</v>
      </c>
      <c r="H59" s="7" t="s">
        <v>1263</v>
      </c>
      <c r="I59" s="7" t="s">
        <v>627</v>
      </c>
      <c r="J59" s="7" t="s">
        <v>1065</v>
      </c>
      <c r="K59" s="7"/>
      <c r="L59" s="7" t="s">
        <v>872</v>
      </c>
      <c r="M59" s="7" t="s">
        <v>618</v>
      </c>
      <c r="N59" s="7" t="s">
        <v>619</v>
      </c>
      <c r="O59" s="7"/>
      <c r="P59" s="7"/>
    </row>
    <row r="60" customFormat="false" ht="46.25" hidden="false" customHeight="false" outlineLevel="0" collapsed="false">
      <c r="A60" s="7" t="s">
        <v>890</v>
      </c>
      <c r="B60" s="7" t="s">
        <v>1008</v>
      </c>
      <c r="C60" s="7" t="s">
        <v>1029</v>
      </c>
      <c r="D60" s="7" t="s">
        <v>613</v>
      </c>
      <c r="E60" s="7" t="s">
        <v>1264</v>
      </c>
      <c r="F60" s="7" t="s">
        <v>1265</v>
      </c>
      <c r="G60" s="8" t="n">
        <v>0.4</v>
      </c>
      <c r="H60" s="7" t="s">
        <v>1266</v>
      </c>
      <c r="I60" s="7" t="s">
        <v>250</v>
      </c>
      <c r="J60" s="7" t="s">
        <v>568</v>
      </c>
      <c r="K60" s="7" t="s">
        <v>569</v>
      </c>
      <c r="L60" s="7" t="s">
        <v>888</v>
      </c>
      <c r="M60" s="7" t="s">
        <v>1267</v>
      </c>
      <c r="N60" s="7" t="s">
        <v>619</v>
      </c>
      <c r="O60" s="7"/>
      <c r="P60" s="7"/>
    </row>
    <row r="61" customFormat="false" ht="35.05" hidden="false" customHeight="false" outlineLevel="0" collapsed="false">
      <c r="A61" s="7" t="s">
        <v>894</v>
      </c>
      <c r="B61" s="7" t="s">
        <v>1009</v>
      </c>
      <c r="C61" s="7" t="s">
        <v>1029</v>
      </c>
      <c r="D61" s="7" t="s">
        <v>613</v>
      </c>
      <c r="E61" s="7" t="s">
        <v>1268</v>
      </c>
      <c r="F61" s="7" t="s">
        <v>1269</v>
      </c>
      <c r="G61" s="8" t="n">
        <v>1.2</v>
      </c>
      <c r="H61" s="7" t="s">
        <v>1270</v>
      </c>
      <c r="I61" s="7" t="s">
        <v>627</v>
      </c>
      <c r="J61" s="7" t="s">
        <v>556</v>
      </c>
      <c r="K61" s="7" t="s">
        <v>1271</v>
      </c>
      <c r="L61" s="7" t="s">
        <v>892</v>
      </c>
      <c r="M61" s="7" t="s">
        <v>1267</v>
      </c>
      <c r="N61" s="7" t="s">
        <v>619</v>
      </c>
      <c r="O61" s="7"/>
      <c r="P61" s="7"/>
    </row>
    <row r="62" customFormat="false" ht="214.15" hidden="false" customHeight="false" outlineLevel="0" collapsed="false">
      <c r="A62" s="7" t="s">
        <v>898</v>
      </c>
      <c r="B62" s="7" t="s">
        <v>1010</v>
      </c>
      <c r="C62" s="7" t="s">
        <v>1029</v>
      </c>
      <c r="D62" s="7" t="s">
        <v>613</v>
      </c>
      <c r="E62" s="7" t="s">
        <v>1272</v>
      </c>
      <c r="F62" s="7" t="s">
        <v>1273</v>
      </c>
      <c r="G62" s="8" t="n">
        <v>0.2</v>
      </c>
      <c r="H62" s="7" t="s">
        <v>1274</v>
      </c>
      <c r="I62" s="7" t="s">
        <v>367</v>
      </c>
      <c r="J62" s="7" t="s">
        <v>568</v>
      </c>
      <c r="K62" s="7" t="s">
        <v>569</v>
      </c>
      <c r="L62" s="7" t="s">
        <v>896</v>
      </c>
      <c r="M62" s="7" t="s">
        <v>1275</v>
      </c>
      <c r="N62" s="7" t="s">
        <v>1276</v>
      </c>
      <c r="O62" s="7"/>
      <c r="P62" s="7"/>
    </row>
    <row r="63" customFormat="false" ht="214.15" hidden="false" customHeight="false" outlineLevel="0" collapsed="false">
      <c r="A63" s="7" t="s">
        <v>902</v>
      </c>
      <c r="B63" s="7" t="s">
        <v>1011</v>
      </c>
      <c r="C63" s="7" t="s">
        <v>1029</v>
      </c>
      <c r="D63" s="7" t="s">
        <v>613</v>
      </c>
      <c r="E63" s="7" t="s">
        <v>1277</v>
      </c>
      <c r="F63" s="7" t="s">
        <v>1273</v>
      </c>
      <c r="G63" s="8" t="n">
        <v>0.3</v>
      </c>
      <c r="H63" s="7" t="s">
        <v>1278</v>
      </c>
      <c r="I63" s="7" t="s">
        <v>367</v>
      </c>
      <c r="J63" s="7" t="s">
        <v>568</v>
      </c>
      <c r="K63" s="7" t="s">
        <v>569</v>
      </c>
      <c r="L63" s="7" t="s">
        <v>900</v>
      </c>
      <c r="M63" s="7" t="s">
        <v>1275</v>
      </c>
      <c r="N63" s="7" t="s">
        <v>1276</v>
      </c>
      <c r="O63" s="7"/>
      <c r="P63" s="7"/>
    </row>
    <row r="64" customFormat="false" ht="91" hidden="false" customHeight="false" outlineLevel="0" collapsed="false">
      <c r="A64" s="7" t="s">
        <v>915</v>
      </c>
      <c r="B64" s="7" t="s">
        <v>1014</v>
      </c>
      <c r="C64" s="7" t="s">
        <v>1029</v>
      </c>
      <c r="D64" s="7" t="s">
        <v>1279</v>
      </c>
      <c r="E64" s="7" t="s">
        <v>1280</v>
      </c>
      <c r="F64" s="7" t="s">
        <v>1281</v>
      </c>
      <c r="G64" s="8" t="n">
        <v>0.2</v>
      </c>
      <c r="H64" s="7" t="s">
        <v>1282</v>
      </c>
      <c r="I64" s="7" t="s">
        <v>347</v>
      </c>
      <c r="J64" s="7" t="s">
        <v>568</v>
      </c>
      <c r="K64" s="7" t="s">
        <v>569</v>
      </c>
      <c r="L64" s="7" t="s">
        <v>913</v>
      </c>
      <c r="M64" s="7" t="s">
        <v>1283</v>
      </c>
      <c r="N64" s="7" t="s">
        <v>1284</v>
      </c>
      <c r="O64" s="7"/>
      <c r="P64" s="7"/>
    </row>
    <row r="65" customFormat="false" ht="91" hidden="false" customHeight="false" outlineLevel="0" collapsed="false">
      <c r="A65" s="7" t="s">
        <v>911</v>
      </c>
      <c r="B65" s="7" t="s">
        <v>1013</v>
      </c>
      <c r="C65" s="7" t="s">
        <v>1029</v>
      </c>
      <c r="D65" s="7" t="s">
        <v>1279</v>
      </c>
      <c r="E65" s="7" t="s">
        <v>1285</v>
      </c>
      <c r="F65" s="7" t="s">
        <v>1281</v>
      </c>
      <c r="G65" s="8" t="n">
        <v>0.3</v>
      </c>
      <c r="H65" s="7" t="s">
        <v>1286</v>
      </c>
      <c r="I65" s="7" t="s">
        <v>347</v>
      </c>
      <c r="J65" s="7" t="s">
        <v>568</v>
      </c>
      <c r="K65" s="7" t="s">
        <v>569</v>
      </c>
      <c r="L65" s="7" t="s">
        <v>909</v>
      </c>
      <c r="M65" s="7" t="s">
        <v>1287</v>
      </c>
      <c r="N65" s="7" t="s">
        <v>1284</v>
      </c>
      <c r="O65" s="7"/>
      <c r="P65" s="7"/>
    </row>
    <row r="66" customFormat="false" ht="57.45" hidden="false" customHeight="false" outlineLevel="0" collapsed="false">
      <c r="A66" s="7" t="s">
        <v>907</v>
      </c>
      <c r="B66" s="7" t="s">
        <v>1012</v>
      </c>
      <c r="C66" s="7" t="s">
        <v>1029</v>
      </c>
      <c r="D66" s="7" t="s">
        <v>1279</v>
      </c>
      <c r="E66" s="7" t="s">
        <v>1288</v>
      </c>
      <c r="F66" s="7" t="s">
        <v>1289</v>
      </c>
      <c r="G66" s="8" t="n">
        <v>0.5</v>
      </c>
      <c r="H66" s="7" t="s">
        <v>1290</v>
      </c>
      <c r="I66" s="7" t="s">
        <v>627</v>
      </c>
      <c r="J66" s="7" t="s">
        <v>556</v>
      </c>
      <c r="K66" s="7" t="s">
        <v>557</v>
      </c>
      <c r="L66" s="7" t="s">
        <v>1291</v>
      </c>
      <c r="M66" s="7" t="s">
        <v>1292</v>
      </c>
      <c r="N66" s="7" t="s">
        <v>1284</v>
      </c>
      <c r="O66" s="7"/>
      <c r="P66" s="7"/>
    </row>
    <row r="67" customFormat="false" ht="57.45" hidden="false" customHeight="false" outlineLevel="0" collapsed="false">
      <c r="A67" s="7" t="s">
        <v>1293</v>
      </c>
      <c r="B67" s="7" t="s">
        <v>1294</v>
      </c>
      <c r="C67" s="7" t="s">
        <v>1029</v>
      </c>
      <c r="D67" s="7" t="s">
        <v>1279</v>
      </c>
      <c r="E67" s="7" t="s">
        <v>1295</v>
      </c>
      <c r="F67" s="7" t="s">
        <v>1296</v>
      </c>
      <c r="G67" s="8" t="n">
        <v>0.2</v>
      </c>
      <c r="H67" s="7" t="s">
        <v>1297</v>
      </c>
      <c r="I67" s="7" t="s">
        <v>627</v>
      </c>
      <c r="J67" s="7" t="s">
        <v>556</v>
      </c>
      <c r="K67" s="7" t="s">
        <v>557</v>
      </c>
      <c r="L67" s="7" t="s">
        <v>921</v>
      </c>
      <c r="M67" s="7" t="s">
        <v>1292</v>
      </c>
      <c r="N67" s="7" t="s">
        <v>1284</v>
      </c>
      <c r="O67" s="7"/>
      <c r="P67" s="7"/>
    </row>
    <row r="68" customFormat="false" ht="35.05" hidden="false" customHeight="false" outlineLevel="0" collapsed="false">
      <c r="A68" s="7" t="s">
        <v>886</v>
      </c>
      <c r="B68" s="7" t="s">
        <v>1007</v>
      </c>
      <c r="C68" s="7" t="s">
        <v>1029</v>
      </c>
      <c r="D68" s="7" t="s">
        <v>1279</v>
      </c>
      <c r="E68" s="7" t="s">
        <v>1298</v>
      </c>
      <c r="F68" s="7" t="s">
        <v>1299</v>
      </c>
      <c r="G68" s="8" t="n">
        <v>0.5</v>
      </c>
      <c r="H68" s="7" t="s">
        <v>1300</v>
      </c>
      <c r="I68" s="7" t="s">
        <v>250</v>
      </c>
      <c r="J68" s="7" t="s">
        <v>556</v>
      </c>
      <c r="K68" s="7" t="s">
        <v>557</v>
      </c>
      <c r="L68" s="7" t="s">
        <v>884</v>
      </c>
      <c r="M68" s="7" t="s">
        <v>1301</v>
      </c>
      <c r="N68" s="7" t="s">
        <v>1284</v>
      </c>
      <c r="O68" s="7"/>
      <c r="P68" s="7"/>
    </row>
    <row r="69" customFormat="false" ht="79.85" hidden="false" customHeight="false" outlineLevel="0" collapsed="false">
      <c r="A69" s="7" t="s">
        <v>1302</v>
      </c>
      <c r="B69" s="7" t="s">
        <v>1303</v>
      </c>
      <c r="C69" s="7" t="s">
        <v>1029</v>
      </c>
      <c r="D69" s="7" t="s">
        <v>1279</v>
      </c>
      <c r="E69" s="7" t="s">
        <v>1304</v>
      </c>
      <c r="F69" s="7" t="s">
        <v>1305</v>
      </c>
      <c r="G69" s="8" t="n">
        <v>1.3</v>
      </c>
      <c r="H69" s="7" t="s">
        <v>1306</v>
      </c>
      <c r="I69" s="7" t="s">
        <v>250</v>
      </c>
      <c r="J69" s="7" t="s">
        <v>556</v>
      </c>
      <c r="K69" s="7" t="s">
        <v>557</v>
      </c>
      <c r="L69" s="7" t="s">
        <v>917</v>
      </c>
      <c r="M69" s="7" t="s">
        <v>1307</v>
      </c>
      <c r="N69" s="7" t="s">
        <v>1284</v>
      </c>
      <c r="O69" s="7"/>
      <c r="P69" s="7"/>
    </row>
    <row r="70" customFormat="false" ht="46.25" hidden="false" customHeight="false" outlineLevel="0" collapsed="false">
      <c r="A70" s="7" t="s">
        <v>1308</v>
      </c>
      <c r="B70" s="7" t="s">
        <v>1309</v>
      </c>
      <c r="C70" s="7" t="s">
        <v>1029</v>
      </c>
      <c r="D70" s="7" t="s">
        <v>1279</v>
      </c>
      <c r="E70" s="7" t="s">
        <v>1310</v>
      </c>
      <c r="F70" s="7" t="s">
        <v>1311</v>
      </c>
      <c r="G70" s="8" t="n">
        <v>0.9</v>
      </c>
      <c r="H70" s="7" t="s">
        <v>1312</v>
      </c>
      <c r="I70" s="7" t="s">
        <v>627</v>
      </c>
      <c r="J70" s="7" t="s">
        <v>556</v>
      </c>
      <c r="K70" s="7" t="s">
        <v>557</v>
      </c>
      <c r="L70" s="7" t="s">
        <v>917</v>
      </c>
      <c r="M70" s="7" t="s">
        <v>1313</v>
      </c>
      <c r="N70" s="7" t="s">
        <v>1284</v>
      </c>
      <c r="O70" s="7"/>
      <c r="P70" s="7"/>
    </row>
    <row r="71" customFormat="false" ht="639.55" hidden="false" customHeight="false" outlineLevel="0" collapsed="false">
      <c r="A71" s="7" t="s">
        <v>942</v>
      </c>
      <c r="B71" s="7" t="s">
        <v>1019</v>
      </c>
      <c r="C71" s="7" t="s">
        <v>1029</v>
      </c>
      <c r="D71" s="7" t="s">
        <v>623</v>
      </c>
      <c r="E71" s="7" t="s">
        <v>1314</v>
      </c>
      <c r="F71" s="7" t="s">
        <v>1315</v>
      </c>
      <c r="G71" s="8" t="n">
        <v>0.4</v>
      </c>
      <c r="H71" s="7" t="s">
        <v>1316</v>
      </c>
      <c r="I71" s="7" t="s">
        <v>523</v>
      </c>
      <c r="J71" s="7" t="s">
        <v>628</v>
      </c>
      <c r="K71" s="7" t="s">
        <v>569</v>
      </c>
      <c r="L71" s="7" t="s">
        <v>940</v>
      </c>
      <c r="M71" s="7"/>
      <c r="N71" s="7"/>
      <c r="O71" s="7"/>
      <c r="P71" s="7"/>
    </row>
    <row r="72" customFormat="false" ht="639.55" hidden="false" customHeight="false" outlineLevel="0" collapsed="false">
      <c r="A72" s="7" t="s">
        <v>1317</v>
      </c>
      <c r="B72" s="7" t="s">
        <v>1318</v>
      </c>
      <c r="C72" s="7" t="s">
        <v>1029</v>
      </c>
      <c r="D72" s="7" t="s">
        <v>623</v>
      </c>
      <c r="E72" s="7" t="s">
        <v>1319</v>
      </c>
      <c r="F72" s="7" t="s">
        <v>1315</v>
      </c>
      <c r="G72" s="8" t="n">
        <v>0.5</v>
      </c>
      <c r="H72" s="7" t="s">
        <v>1320</v>
      </c>
      <c r="I72" s="7" t="s">
        <v>523</v>
      </c>
      <c r="J72" s="7" t="s">
        <v>628</v>
      </c>
      <c r="K72" s="7" t="s">
        <v>569</v>
      </c>
      <c r="L72" s="7" t="s">
        <v>944</v>
      </c>
      <c r="M72" s="7"/>
      <c r="N72" s="7"/>
      <c r="O72" s="7"/>
      <c r="P72" s="7"/>
    </row>
    <row r="73" customFormat="false" ht="639.55" hidden="false" customHeight="false" outlineLevel="0" collapsed="false">
      <c r="A73" s="7" t="s">
        <v>1321</v>
      </c>
      <c r="B73" s="7" t="s">
        <v>1322</v>
      </c>
      <c r="C73" s="7" t="s">
        <v>1029</v>
      </c>
      <c r="D73" s="7" t="s">
        <v>623</v>
      </c>
      <c r="E73" s="7" t="s">
        <v>1323</v>
      </c>
      <c r="F73" s="7" t="s">
        <v>1315</v>
      </c>
      <c r="G73" s="8" t="n">
        <v>0.6</v>
      </c>
      <c r="H73" s="7" t="s">
        <v>1324</v>
      </c>
      <c r="I73" s="7" t="s">
        <v>523</v>
      </c>
      <c r="J73" s="7" t="s">
        <v>628</v>
      </c>
      <c r="K73" s="7" t="s">
        <v>569</v>
      </c>
      <c r="L73" s="7" t="s">
        <v>944</v>
      </c>
      <c r="M73" s="7"/>
      <c r="N73" s="7"/>
      <c r="O73" s="7"/>
      <c r="P73" s="7"/>
    </row>
    <row r="74" customFormat="false" ht="639.55" hidden="false" customHeight="false" outlineLevel="0" collapsed="false">
      <c r="A74" s="7" t="s">
        <v>950</v>
      </c>
      <c r="B74" s="7" t="s">
        <v>1021</v>
      </c>
      <c r="C74" s="7" t="s">
        <v>1029</v>
      </c>
      <c r="D74" s="7" t="s">
        <v>623</v>
      </c>
      <c r="E74" s="7" t="s">
        <v>1325</v>
      </c>
      <c r="F74" s="7" t="s">
        <v>1315</v>
      </c>
      <c r="G74" s="8" t="n">
        <v>0.6</v>
      </c>
      <c r="H74" s="7" t="s">
        <v>1326</v>
      </c>
      <c r="I74" s="7" t="s">
        <v>523</v>
      </c>
      <c r="J74" s="7" t="s">
        <v>628</v>
      </c>
      <c r="K74" s="7" t="s">
        <v>569</v>
      </c>
      <c r="L74" s="7" t="s">
        <v>948</v>
      </c>
      <c r="M74" s="7"/>
      <c r="N74" s="7"/>
      <c r="O74" s="7"/>
      <c r="P74" s="7"/>
    </row>
    <row r="75" customFormat="false" ht="639.55" hidden="false" customHeight="false" outlineLevel="0" collapsed="false">
      <c r="A75" s="7" t="s">
        <v>954</v>
      </c>
      <c r="B75" s="7" t="s">
        <v>1022</v>
      </c>
      <c r="C75" s="7" t="s">
        <v>1029</v>
      </c>
      <c r="D75" s="7" t="s">
        <v>623</v>
      </c>
      <c r="E75" s="7" t="s">
        <v>1327</v>
      </c>
      <c r="F75" s="7" t="s">
        <v>1315</v>
      </c>
      <c r="G75" s="8" t="n">
        <v>0.6</v>
      </c>
      <c r="H75" s="7" t="s">
        <v>1328</v>
      </c>
      <c r="I75" s="7" t="s">
        <v>523</v>
      </c>
      <c r="J75" s="7" t="s">
        <v>628</v>
      </c>
      <c r="K75" s="7" t="s">
        <v>569</v>
      </c>
      <c r="L75" s="7" t="s">
        <v>952</v>
      </c>
      <c r="M75" s="7"/>
      <c r="N75" s="7"/>
      <c r="O75" s="7"/>
      <c r="P75" s="7"/>
    </row>
    <row r="76" customFormat="false" ht="639.55" hidden="false" customHeight="false" outlineLevel="0" collapsed="false">
      <c r="A76" s="7" t="s">
        <v>958</v>
      </c>
      <c r="B76" s="7" t="s">
        <v>1023</v>
      </c>
      <c r="C76" s="7" t="s">
        <v>1029</v>
      </c>
      <c r="D76" s="7" t="s">
        <v>623</v>
      </c>
      <c r="E76" s="7" t="s">
        <v>1329</v>
      </c>
      <c r="F76" s="7" t="s">
        <v>1315</v>
      </c>
      <c r="G76" s="8" t="n">
        <v>0.2</v>
      </c>
      <c r="H76" s="7" t="s">
        <v>1330</v>
      </c>
      <c r="I76" s="7" t="s">
        <v>523</v>
      </c>
      <c r="J76" s="7" t="s">
        <v>628</v>
      </c>
      <c r="K76" s="7" t="s">
        <v>569</v>
      </c>
      <c r="L76" s="7" t="s">
        <v>1331</v>
      </c>
      <c r="M76" s="7" t="s">
        <v>333</v>
      </c>
      <c r="N76" s="7" t="s">
        <v>1142</v>
      </c>
      <c r="O76" s="7"/>
      <c r="P76" s="7"/>
    </row>
    <row r="77" customFormat="false" ht="639.55" hidden="false" customHeight="false" outlineLevel="0" collapsed="false">
      <c r="A77" s="7" t="s">
        <v>1332</v>
      </c>
      <c r="B77" s="7" t="s">
        <v>1333</v>
      </c>
      <c r="C77" s="7" t="s">
        <v>1029</v>
      </c>
      <c r="D77" s="7" t="s">
        <v>623</v>
      </c>
      <c r="E77" s="7" t="s">
        <v>1334</v>
      </c>
      <c r="F77" s="7" t="s">
        <v>1315</v>
      </c>
      <c r="G77" s="8" t="n">
        <v>0.2</v>
      </c>
      <c r="H77" s="7" t="s">
        <v>1335</v>
      </c>
      <c r="I77" s="7" t="s">
        <v>523</v>
      </c>
      <c r="J77" s="7" t="s">
        <v>628</v>
      </c>
      <c r="K77" s="7" t="s">
        <v>569</v>
      </c>
      <c r="L77" s="7" t="s">
        <v>967</v>
      </c>
      <c r="M77" s="7"/>
      <c r="N77" s="7"/>
      <c r="O77" s="7"/>
      <c r="P77" s="7"/>
    </row>
    <row r="78" customFormat="false" ht="639.55" hidden="false" customHeight="false" outlineLevel="0" collapsed="false">
      <c r="A78" s="7" t="s">
        <v>965</v>
      </c>
      <c r="B78" s="7" t="s">
        <v>1024</v>
      </c>
      <c r="C78" s="7" t="s">
        <v>1029</v>
      </c>
      <c r="D78" s="7" t="s">
        <v>623</v>
      </c>
      <c r="E78" s="7" t="s">
        <v>1336</v>
      </c>
      <c r="F78" s="7" t="s">
        <v>1315</v>
      </c>
      <c r="G78" s="8" t="n">
        <v>0.1</v>
      </c>
      <c r="H78" s="7" t="s">
        <v>1337</v>
      </c>
      <c r="I78" s="7" t="s">
        <v>523</v>
      </c>
      <c r="J78" s="7" t="s">
        <v>628</v>
      </c>
      <c r="K78" s="7" t="s">
        <v>569</v>
      </c>
      <c r="L78" s="7" t="s">
        <v>963</v>
      </c>
      <c r="M78" s="7"/>
      <c r="N78" s="7"/>
      <c r="O78" s="7"/>
      <c r="P78" s="7"/>
    </row>
    <row r="79" customFormat="false" ht="91" hidden="false" customHeight="false" outlineLevel="0" collapsed="false">
      <c r="A79" s="7" t="s">
        <v>931</v>
      </c>
      <c r="B79" s="7" t="s">
        <v>1017</v>
      </c>
      <c r="C79" s="7" t="s">
        <v>1029</v>
      </c>
      <c r="D79" s="7" t="s">
        <v>623</v>
      </c>
      <c r="E79" s="7" t="s">
        <v>1338</v>
      </c>
      <c r="F79" s="7" t="s">
        <v>1339</v>
      </c>
      <c r="G79" s="8" t="n">
        <v>0.1</v>
      </c>
      <c r="H79" s="7" t="s">
        <v>1340</v>
      </c>
      <c r="I79" s="7" t="s">
        <v>523</v>
      </c>
      <c r="J79" s="7" t="s">
        <v>556</v>
      </c>
      <c r="K79" s="7" t="s">
        <v>557</v>
      </c>
      <c r="L79" s="7" t="s">
        <v>929</v>
      </c>
      <c r="M79" s="7"/>
      <c r="N79" s="7"/>
      <c r="O79" s="7"/>
      <c r="P79" s="7"/>
    </row>
    <row r="80" customFormat="false" ht="113.4" hidden="false" customHeight="false" outlineLevel="0" collapsed="false">
      <c r="A80" s="7" t="s">
        <v>1341</v>
      </c>
      <c r="B80" s="7" t="s">
        <v>1342</v>
      </c>
      <c r="C80" s="7" t="s">
        <v>1029</v>
      </c>
      <c r="D80" s="7" t="s">
        <v>623</v>
      </c>
      <c r="E80" s="7" t="s">
        <v>1343</v>
      </c>
      <c r="F80" s="7" t="s">
        <v>1344</v>
      </c>
      <c r="G80" s="8" t="n">
        <v>0.1</v>
      </c>
      <c r="H80" s="7" t="s">
        <v>1345</v>
      </c>
      <c r="I80" s="7" t="s">
        <v>523</v>
      </c>
      <c r="J80" s="7" t="s">
        <v>556</v>
      </c>
      <c r="K80" s="7" t="s">
        <v>557</v>
      </c>
      <c r="L80" s="7" t="s">
        <v>967</v>
      </c>
      <c r="M80" s="7"/>
      <c r="N80" s="7"/>
      <c r="O80" s="7"/>
      <c r="P80" s="7"/>
    </row>
    <row r="82" customFormat="false" ht="15" hidden="false" customHeight="false" outlineLevel="0" collapsed="false">
      <c r="E82" s="11" t="s">
        <v>646</v>
      </c>
      <c r="F82" s="11" t="n">
        <f aca="false">COUNTA(A5:A80)</f>
        <v>76</v>
      </c>
      <c r="G82" s="12" t="n">
        <f aca="false">SUM(G5:G80)</f>
        <v>35.5</v>
      </c>
    </row>
  </sheetData>
  <autoFilter ref="A4:P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4BC4"/>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28"/>
    <col collapsed="false" customWidth="true" hidden="false" outlineLevel="0" max="5" min="5" style="0" width="60"/>
    <col collapsed="false" customWidth="true" hidden="false" outlineLevel="0" max="6" min="6" style="0" width="50"/>
    <col collapsed="false" customWidth="true" hidden="false" outlineLevel="0" max="7" min="7" style="0" width="9"/>
    <col collapsed="false" customWidth="true" hidden="false" outlineLevel="0" max="8" min="8" style="0" width="18"/>
    <col collapsed="false" customWidth="true" hidden="false" outlineLevel="0" max="9" min="9" style="0" width="22"/>
    <col collapsed="false" customWidth="true" hidden="false" outlineLevel="0" max="10" min="10" style="0" width="16"/>
    <col collapsed="false" customWidth="true" hidden="false" outlineLevel="0" max="11" min="11" style="0" width="14"/>
    <col collapsed="false" customWidth="true" hidden="false" outlineLevel="0" max="13" min="12" style="0" width="16"/>
    <col collapsed="false" customWidth="true" hidden="false" outlineLevel="0" max="14" min="14" style="0" width="12"/>
    <col collapsed="false" customWidth="true" hidden="false" outlineLevel="0" max="15" min="15" style="0" width="10"/>
    <col collapsed="false" customWidth="true" hidden="false" outlineLevel="0" max="16" min="16" style="0" width="16"/>
  </cols>
  <sheetData>
    <row r="1" customFormat="false" ht="17.35" hidden="false" customHeight="false" outlineLevel="0" collapsed="false">
      <c r="A1" s="1" t="s">
        <v>1346</v>
      </c>
    </row>
    <row r="2" customFormat="false" ht="15" hidden="false" customHeight="false" outlineLevel="0" collapsed="false">
      <c r="A2" s="2" t="s">
        <v>1347</v>
      </c>
    </row>
    <row r="4" customFormat="false" ht="31.5" hidden="false" customHeight="true" outlineLevel="0" collapsed="false">
      <c r="A4" s="6" t="s">
        <v>118</v>
      </c>
      <c r="B4" s="6" t="s">
        <v>538</v>
      </c>
      <c r="C4" s="6" t="s">
        <v>539</v>
      </c>
      <c r="D4" s="6" t="s">
        <v>540</v>
      </c>
      <c r="E4" s="6" t="s">
        <v>120</v>
      </c>
      <c r="F4" s="6" t="s">
        <v>125</v>
      </c>
      <c r="G4" s="6" t="s">
        <v>541</v>
      </c>
      <c r="H4" s="6" t="s">
        <v>126</v>
      </c>
      <c r="I4" s="6" t="s">
        <v>127</v>
      </c>
      <c r="J4" s="6" t="s">
        <v>542</v>
      </c>
      <c r="K4" s="6" t="s">
        <v>543</v>
      </c>
      <c r="L4" s="6" t="s">
        <v>544</v>
      </c>
      <c r="M4" s="6" t="s">
        <v>545</v>
      </c>
      <c r="N4" s="6" t="s">
        <v>546</v>
      </c>
      <c r="O4" s="6" t="s">
        <v>547</v>
      </c>
      <c r="P4" s="6" t="s">
        <v>548</v>
      </c>
    </row>
    <row r="5" customFormat="false" ht="46.25" hidden="false" customHeight="false" outlineLevel="0" collapsed="false">
      <c r="A5" s="7" t="s">
        <v>1348</v>
      </c>
      <c r="B5" s="7" t="s">
        <v>669</v>
      </c>
      <c r="C5" s="7" t="s">
        <v>1349</v>
      </c>
      <c r="D5" s="7" t="s">
        <v>552</v>
      </c>
      <c r="E5" s="7" t="s">
        <v>1350</v>
      </c>
      <c r="F5" s="7" t="s">
        <v>1351</v>
      </c>
      <c r="G5" s="8" t="n">
        <v>0.1</v>
      </c>
      <c r="H5" s="7" t="s">
        <v>1352</v>
      </c>
      <c r="I5" s="7" t="s">
        <v>523</v>
      </c>
      <c r="J5" s="7" t="s">
        <v>568</v>
      </c>
      <c r="K5" s="7" t="s">
        <v>569</v>
      </c>
      <c r="L5" s="7"/>
      <c r="M5" s="7"/>
      <c r="N5" s="7" t="s">
        <v>560</v>
      </c>
      <c r="O5" s="7"/>
      <c r="P5" s="7"/>
    </row>
    <row r="6" customFormat="false" ht="79.85" hidden="false" customHeight="false" outlineLevel="0" collapsed="false">
      <c r="A6" s="7" t="s">
        <v>1353</v>
      </c>
      <c r="B6" s="7" t="s">
        <v>1354</v>
      </c>
      <c r="C6" s="7" t="s">
        <v>1349</v>
      </c>
      <c r="D6" s="7" t="s">
        <v>552</v>
      </c>
      <c r="E6" s="7" t="s">
        <v>1355</v>
      </c>
      <c r="F6" s="7" t="s">
        <v>1356</v>
      </c>
      <c r="G6" s="8" t="n">
        <v>0.5</v>
      </c>
      <c r="H6" s="7" t="s">
        <v>1357</v>
      </c>
      <c r="I6" s="7" t="s">
        <v>250</v>
      </c>
      <c r="J6" s="7" t="s">
        <v>556</v>
      </c>
      <c r="K6" s="7" t="s">
        <v>557</v>
      </c>
      <c r="L6" s="7"/>
      <c r="M6" s="7" t="s">
        <v>1358</v>
      </c>
      <c r="N6" s="7" t="s">
        <v>560</v>
      </c>
      <c r="O6" s="7"/>
      <c r="P6" s="7"/>
    </row>
    <row r="7" customFormat="false" ht="57.45" hidden="false" customHeight="false" outlineLevel="0" collapsed="false">
      <c r="A7" s="7" t="s">
        <v>1359</v>
      </c>
      <c r="B7" s="7" t="s">
        <v>1360</v>
      </c>
      <c r="C7" s="7" t="s">
        <v>1349</v>
      </c>
      <c r="D7" s="7" t="s">
        <v>552</v>
      </c>
      <c r="E7" s="7" t="s">
        <v>1361</v>
      </c>
      <c r="F7" s="7" t="s">
        <v>1362</v>
      </c>
      <c r="G7" s="8" t="n">
        <v>0.5</v>
      </c>
      <c r="H7" s="7" t="s">
        <v>1363</v>
      </c>
      <c r="I7" s="7" t="s">
        <v>250</v>
      </c>
      <c r="J7" s="7" t="s">
        <v>568</v>
      </c>
      <c r="K7" s="7" t="s">
        <v>569</v>
      </c>
      <c r="L7" s="7"/>
      <c r="M7" s="7" t="s">
        <v>1364</v>
      </c>
      <c r="N7" s="7" t="s">
        <v>560</v>
      </c>
      <c r="O7" s="7"/>
      <c r="P7" s="7"/>
    </row>
    <row r="8" customFormat="false" ht="68.65" hidden="false" customHeight="false" outlineLevel="0" collapsed="false">
      <c r="A8" s="7" t="s">
        <v>1365</v>
      </c>
      <c r="B8" s="7" t="s">
        <v>1366</v>
      </c>
      <c r="C8" s="7" t="s">
        <v>1349</v>
      </c>
      <c r="D8" s="7" t="s">
        <v>552</v>
      </c>
      <c r="E8" s="7" t="s">
        <v>1367</v>
      </c>
      <c r="F8" s="7" t="s">
        <v>1368</v>
      </c>
      <c r="G8" s="8" t="n">
        <v>0.7</v>
      </c>
      <c r="H8" s="7" t="s">
        <v>1369</v>
      </c>
      <c r="I8" s="7" t="s">
        <v>598</v>
      </c>
      <c r="J8" s="7" t="s">
        <v>568</v>
      </c>
      <c r="K8" s="7" t="s">
        <v>569</v>
      </c>
      <c r="L8" s="7"/>
      <c r="M8" s="7" t="s">
        <v>1370</v>
      </c>
      <c r="N8" s="7" t="s">
        <v>560</v>
      </c>
      <c r="O8" s="7"/>
      <c r="P8" s="7"/>
    </row>
    <row r="9" customFormat="false" ht="68.65" hidden="false" customHeight="false" outlineLevel="0" collapsed="false">
      <c r="A9" s="7" t="s">
        <v>1371</v>
      </c>
      <c r="B9" s="7" t="s">
        <v>1372</v>
      </c>
      <c r="C9" s="7" t="s">
        <v>1349</v>
      </c>
      <c r="D9" s="7" t="s">
        <v>552</v>
      </c>
      <c r="E9" s="7" t="s">
        <v>1373</v>
      </c>
      <c r="F9" s="7" t="s">
        <v>1374</v>
      </c>
      <c r="G9" s="8" t="n">
        <v>0.1</v>
      </c>
      <c r="H9" s="7" t="s">
        <v>1375</v>
      </c>
      <c r="I9" s="7" t="s">
        <v>598</v>
      </c>
      <c r="J9" s="7" t="s">
        <v>556</v>
      </c>
      <c r="K9" s="7" t="s">
        <v>557</v>
      </c>
      <c r="L9" s="7"/>
      <c r="M9" s="7" t="s">
        <v>1370</v>
      </c>
      <c r="N9" s="7" t="s">
        <v>560</v>
      </c>
      <c r="O9" s="7"/>
      <c r="P9" s="7"/>
    </row>
    <row r="10" customFormat="false" ht="68.65" hidden="false" customHeight="false" outlineLevel="0" collapsed="false">
      <c r="A10" s="7" t="s">
        <v>1376</v>
      </c>
      <c r="B10" s="7" t="s">
        <v>1377</v>
      </c>
      <c r="C10" s="7" t="s">
        <v>1349</v>
      </c>
      <c r="D10" s="7" t="s">
        <v>552</v>
      </c>
      <c r="E10" s="7" t="s">
        <v>1378</v>
      </c>
      <c r="F10" s="7" t="s">
        <v>1379</v>
      </c>
      <c r="G10" s="8" t="n">
        <v>0.3</v>
      </c>
      <c r="H10" s="7" t="s">
        <v>1380</v>
      </c>
      <c r="I10" s="7" t="s">
        <v>250</v>
      </c>
      <c r="J10" s="7" t="s">
        <v>568</v>
      </c>
      <c r="K10" s="7" t="s">
        <v>569</v>
      </c>
      <c r="L10" s="7"/>
      <c r="M10" s="7" t="s">
        <v>1364</v>
      </c>
      <c r="N10" s="7" t="s">
        <v>560</v>
      </c>
      <c r="O10" s="7"/>
      <c r="P10" s="7"/>
    </row>
    <row r="11" customFormat="false" ht="46.25" hidden="false" customHeight="false" outlineLevel="0" collapsed="false">
      <c r="A11" s="7" t="s">
        <v>1381</v>
      </c>
      <c r="B11" s="7" t="s">
        <v>1382</v>
      </c>
      <c r="C11" s="7" t="s">
        <v>1349</v>
      </c>
      <c r="D11" s="7" t="s">
        <v>552</v>
      </c>
      <c r="E11" s="7" t="s">
        <v>1383</v>
      </c>
      <c r="F11" s="7" t="s">
        <v>1384</v>
      </c>
      <c r="G11" s="8" t="n">
        <v>1</v>
      </c>
      <c r="H11" s="7" t="s">
        <v>1385</v>
      </c>
      <c r="I11" s="7" t="s">
        <v>523</v>
      </c>
      <c r="J11" s="7" t="s">
        <v>556</v>
      </c>
      <c r="K11" s="7" t="s">
        <v>557</v>
      </c>
      <c r="L11" s="7"/>
      <c r="M11" s="7" t="s">
        <v>1386</v>
      </c>
      <c r="N11" s="7" t="s">
        <v>560</v>
      </c>
      <c r="O11" s="7"/>
      <c r="P11" s="7"/>
    </row>
    <row r="12" customFormat="false" ht="35.05" hidden="false" customHeight="false" outlineLevel="0" collapsed="false">
      <c r="A12" s="7" t="s">
        <v>1387</v>
      </c>
      <c r="B12" s="7" t="s">
        <v>1388</v>
      </c>
      <c r="C12" s="7" t="s">
        <v>1349</v>
      </c>
      <c r="D12" s="7" t="s">
        <v>552</v>
      </c>
      <c r="E12" s="7" t="s">
        <v>1389</v>
      </c>
      <c r="F12" s="7" t="s">
        <v>1390</v>
      </c>
      <c r="G12" s="8" t="n">
        <v>0.7</v>
      </c>
      <c r="H12" s="7" t="s">
        <v>1391</v>
      </c>
      <c r="I12" s="7" t="s">
        <v>250</v>
      </c>
      <c r="J12" s="7" t="s">
        <v>556</v>
      </c>
      <c r="K12" s="7" t="s">
        <v>557</v>
      </c>
      <c r="L12" s="7"/>
      <c r="M12" s="7" t="s">
        <v>1057</v>
      </c>
      <c r="N12" s="7" t="s">
        <v>560</v>
      </c>
      <c r="O12" s="7"/>
      <c r="P12" s="7"/>
    </row>
    <row r="13" customFormat="false" ht="57.45" hidden="false" customHeight="false" outlineLevel="0" collapsed="false">
      <c r="A13" s="7" t="s">
        <v>1392</v>
      </c>
      <c r="B13" s="7" t="s">
        <v>1393</v>
      </c>
      <c r="C13" s="7" t="s">
        <v>1349</v>
      </c>
      <c r="D13" s="7" t="s">
        <v>552</v>
      </c>
      <c r="E13" s="7" t="s">
        <v>1394</v>
      </c>
      <c r="F13" s="7" t="s">
        <v>1395</v>
      </c>
      <c r="G13" s="8" t="n">
        <v>0.4</v>
      </c>
      <c r="H13" s="7" t="s">
        <v>1396</v>
      </c>
      <c r="I13" s="7" t="s">
        <v>627</v>
      </c>
      <c r="J13" s="7" t="s">
        <v>556</v>
      </c>
      <c r="K13" s="7" t="s">
        <v>557</v>
      </c>
      <c r="L13" s="7"/>
      <c r="M13" s="7" t="s">
        <v>1057</v>
      </c>
      <c r="N13" s="7" t="s">
        <v>560</v>
      </c>
      <c r="O13" s="7"/>
      <c r="P13" s="7"/>
    </row>
    <row r="14" customFormat="false" ht="35.05" hidden="false" customHeight="false" outlineLevel="0" collapsed="false">
      <c r="A14" s="7" t="s">
        <v>1397</v>
      </c>
      <c r="B14" s="7" t="s">
        <v>1398</v>
      </c>
      <c r="C14" s="7" t="s">
        <v>1349</v>
      </c>
      <c r="D14" s="7" t="s">
        <v>552</v>
      </c>
      <c r="E14" s="7" t="s">
        <v>1399</v>
      </c>
      <c r="F14" s="7" t="s">
        <v>1400</v>
      </c>
      <c r="G14" s="8" t="n">
        <v>0.8</v>
      </c>
      <c r="H14" s="7" t="s">
        <v>1401</v>
      </c>
      <c r="I14" s="7" t="s">
        <v>627</v>
      </c>
      <c r="J14" s="7" t="s">
        <v>556</v>
      </c>
      <c r="K14" s="7" t="s">
        <v>557</v>
      </c>
      <c r="L14" s="7"/>
      <c r="M14" s="7" t="s">
        <v>1057</v>
      </c>
      <c r="N14" s="7" t="s">
        <v>560</v>
      </c>
      <c r="O14" s="7"/>
      <c r="P14" s="7"/>
    </row>
    <row r="15" customFormat="false" ht="46.25" hidden="false" customHeight="false" outlineLevel="0" collapsed="false">
      <c r="A15" s="7" t="s">
        <v>1402</v>
      </c>
      <c r="B15" s="7" t="s">
        <v>1403</v>
      </c>
      <c r="C15" s="7" t="s">
        <v>1349</v>
      </c>
      <c r="D15" s="7" t="s">
        <v>552</v>
      </c>
      <c r="E15" s="7" t="s">
        <v>1404</v>
      </c>
      <c r="F15" s="7" t="s">
        <v>1405</v>
      </c>
      <c r="G15" s="8" t="n">
        <v>0.7</v>
      </c>
      <c r="H15" s="7" t="s">
        <v>1406</v>
      </c>
      <c r="I15" s="7" t="s">
        <v>523</v>
      </c>
      <c r="J15" s="7" t="s">
        <v>556</v>
      </c>
      <c r="K15" s="7" t="s">
        <v>557</v>
      </c>
      <c r="L15" s="7"/>
      <c r="M15" s="7" t="s">
        <v>1057</v>
      </c>
      <c r="N15" s="7" t="s">
        <v>560</v>
      </c>
      <c r="O15" s="7"/>
      <c r="P15" s="7"/>
    </row>
    <row r="16" customFormat="false" ht="79.85" hidden="false" customHeight="false" outlineLevel="0" collapsed="false">
      <c r="A16" s="7" t="s">
        <v>1407</v>
      </c>
      <c r="B16" s="7" t="s">
        <v>1408</v>
      </c>
      <c r="C16" s="7" t="s">
        <v>1349</v>
      </c>
      <c r="D16" s="7" t="s">
        <v>552</v>
      </c>
      <c r="E16" s="7" t="s">
        <v>1409</v>
      </c>
      <c r="F16" s="7" t="s">
        <v>1410</v>
      </c>
      <c r="G16" s="8" t="n">
        <v>0.7</v>
      </c>
      <c r="H16" s="7" t="s">
        <v>1411</v>
      </c>
      <c r="I16" s="7" t="s">
        <v>523</v>
      </c>
      <c r="J16" s="7" t="s">
        <v>556</v>
      </c>
      <c r="K16" s="7" t="s">
        <v>557</v>
      </c>
      <c r="L16" s="7"/>
      <c r="M16" s="7" t="s">
        <v>1057</v>
      </c>
      <c r="N16" s="7" t="s">
        <v>560</v>
      </c>
      <c r="O16" s="7"/>
      <c r="P16" s="7"/>
    </row>
    <row r="17" customFormat="false" ht="46.25" hidden="false" customHeight="false" outlineLevel="0" collapsed="false">
      <c r="A17" s="7" t="s">
        <v>1412</v>
      </c>
      <c r="B17" s="7" t="s">
        <v>1413</v>
      </c>
      <c r="C17" s="7" t="s">
        <v>1349</v>
      </c>
      <c r="D17" s="7" t="s">
        <v>552</v>
      </c>
      <c r="E17" s="7" t="s">
        <v>1414</v>
      </c>
      <c r="F17" s="7" t="s">
        <v>1415</v>
      </c>
      <c r="G17" s="8" t="n">
        <v>0.8</v>
      </c>
      <c r="H17" s="7" t="s">
        <v>1416</v>
      </c>
      <c r="I17" s="7" t="s">
        <v>250</v>
      </c>
      <c r="J17" s="7" t="s">
        <v>556</v>
      </c>
      <c r="K17" s="7" t="s">
        <v>557</v>
      </c>
      <c r="L17" s="7"/>
      <c r="M17" s="7" t="s">
        <v>1417</v>
      </c>
      <c r="N17" s="7" t="s">
        <v>560</v>
      </c>
      <c r="O17" s="7"/>
      <c r="P17" s="7"/>
    </row>
    <row r="18" customFormat="false" ht="57.45" hidden="false" customHeight="false" outlineLevel="0" collapsed="false">
      <c r="A18" s="7" t="s">
        <v>1418</v>
      </c>
      <c r="B18" s="7" t="s">
        <v>1419</v>
      </c>
      <c r="C18" s="7" t="s">
        <v>1349</v>
      </c>
      <c r="D18" s="7" t="s">
        <v>552</v>
      </c>
      <c r="E18" s="7" t="s">
        <v>1420</v>
      </c>
      <c r="F18" s="7" t="s">
        <v>1421</v>
      </c>
      <c r="G18" s="8" t="n">
        <v>0.7</v>
      </c>
      <c r="H18" s="7" t="s">
        <v>1422</v>
      </c>
      <c r="I18" s="7" t="s">
        <v>250</v>
      </c>
      <c r="J18" s="7" t="s">
        <v>556</v>
      </c>
      <c r="K18" s="7" t="s">
        <v>557</v>
      </c>
      <c r="L18" s="7"/>
      <c r="M18" s="7" t="s">
        <v>1417</v>
      </c>
      <c r="N18" s="7" t="s">
        <v>560</v>
      </c>
      <c r="O18" s="7"/>
      <c r="P18" s="7"/>
    </row>
    <row r="19" customFormat="false" ht="57.45" hidden="false" customHeight="false" outlineLevel="0" collapsed="false">
      <c r="A19" s="7" t="s">
        <v>1423</v>
      </c>
      <c r="B19" s="7" t="s">
        <v>1424</v>
      </c>
      <c r="C19" s="7" t="s">
        <v>1349</v>
      </c>
      <c r="D19" s="7" t="s">
        <v>564</v>
      </c>
      <c r="E19" s="7" t="s">
        <v>1425</v>
      </c>
      <c r="F19" s="7" t="s">
        <v>1426</v>
      </c>
      <c r="G19" s="8" t="n">
        <v>1</v>
      </c>
      <c r="H19" s="7" t="s">
        <v>1427</v>
      </c>
      <c r="I19" s="7" t="s">
        <v>347</v>
      </c>
      <c r="J19" s="7" t="s">
        <v>568</v>
      </c>
      <c r="K19" s="7" t="s">
        <v>569</v>
      </c>
      <c r="L19" s="7"/>
      <c r="M19" s="7" t="s">
        <v>570</v>
      </c>
      <c r="N19" s="7" t="s">
        <v>571</v>
      </c>
      <c r="O19" s="7"/>
      <c r="P19" s="7"/>
    </row>
    <row r="20" customFormat="false" ht="91" hidden="false" customHeight="false" outlineLevel="0" collapsed="false">
      <c r="A20" s="7" t="s">
        <v>1428</v>
      </c>
      <c r="B20" s="7" t="s">
        <v>1429</v>
      </c>
      <c r="C20" s="7" t="s">
        <v>1349</v>
      </c>
      <c r="D20" s="7" t="s">
        <v>564</v>
      </c>
      <c r="E20" s="7" t="s">
        <v>1430</v>
      </c>
      <c r="F20" s="7" t="s">
        <v>1431</v>
      </c>
      <c r="G20" s="8" t="n">
        <v>0.8</v>
      </c>
      <c r="H20" s="7" t="s">
        <v>1432</v>
      </c>
      <c r="I20" s="7" t="s">
        <v>367</v>
      </c>
      <c r="J20" s="7" t="s">
        <v>568</v>
      </c>
      <c r="K20" s="7" t="s">
        <v>569</v>
      </c>
      <c r="L20" s="7"/>
      <c r="M20" s="7" t="s">
        <v>570</v>
      </c>
      <c r="N20" s="7" t="s">
        <v>571</v>
      </c>
      <c r="O20" s="7"/>
      <c r="P20" s="7"/>
    </row>
    <row r="21" customFormat="false" ht="57.45" hidden="false" customHeight="false" outlineLevel="0" collapsed="false">
      <c r="A21" s="7" t="s">
        <v>1433</v>
      </c>
      <c r="B21" s="7" t="s">
        <v>1434</v>
      </c>
      <c r="C21" s="7" t="s">
        <v>1349</v>
      </c>
      <c r="D21" s="7" t="s">
        <v>564</v>
      </c>
      <c r="E21" s="7" t="s">
        <v>1435</v>
      </c>
      <c r="F21" s="7" t="s">
        <v>1436</v>
      </c>
      <c r="G21" s="8" t="n">
        <v>0.5</v>
      </c>
      <c r="H21" s="7" t="s">
        <v>1437</v>
      </c>
      <c r="I21" s="7" t="s">
        <v>347</v>
      </c>
      <c r="J21" s="7" t="s">
        <v>568</v>
      </c>
      <c r="K21" s="7" t="s">
        <v>569</v>
      </c>
      <c r="L21" s="7"/>
      <c r="M21" s="7" t="s">
        <v>570</v>
      </c>
      <c r="N21" s="7" t="s">
        <v>571</v>
      </c>
      <c r="O21" s="7"/>
      <c r="P21" s="7"/>
    </row>
    <row r="22" customFormat="false" ht="46.25" hidden="false" customHeight="false" outlineLevel="0" collapsed="false">
      <c r="A22" s="7" t="s">
        <v>1438</v>
      </c>
      <c r="B22" s="7" t="s">
        <v>1439</v>
      </c>
      <c r="C22" s="7" t="s">
        <v>1349</v>
      </c>
      <c r="D22" s="7" t="s">
        <v>564</v>
      </c>
      <c r="E22" s="7" t="s">
        <v>1440</v>
      </c>
      <c r="F22" s="7" t="s">
        <v>1441</v>
      </c>
      <c r="G22" s="8" t="n">
        <v>1.4</v>
      </c>
      <c r="H22" s="7" t="s">
        <v>1442</v>
      </c>
      <c r="I22" s="7" t="s">
        <v>347</v>
      </c>
      <c r="J22" s="7" t="s">
        <v>568</v>
      </c>
      <c r="K22" s="7" t="s">
        <v>569</v>
      </c>
      <c r="L22" s="7"/>
      <c r="M22" s="7" t="s">
        <v>1443</v>
      </c>
      <c r="N22" s="7" t="s">
        <v>571</v>
      </c>
      <c r="O22" s="7"/>
      <c r="P22" s="7"/>
    </row>
    <row r="23" customFormat="false" ht="46.25" hidden="false" customHeight="false" outlineLevel="0" collapsed="false">
      <c r="A23" s="7" t="s">
        <v>1444</v>
      </c>
      <c r="B23" s="7" t="s">
        <v>1445</v>
      </c>
      <c r="C23" s="7" t="s">
        <v>1349</v>
      </c>
      <c r="D23" s="7" t="s">
        <v>564</v>
      </c>
      <c r="E23" s="7" t="s">
        <v>1446</v>
      </c>
      <c r="F23" s="7" t="s">
        <v>1262</v>
      </c>
      <c r="G23" s="8" t="n">
        <v>1.5</v>
      </c>
      <c r="H23" s="7" t="s">
        <v>1447</v>
      </c>
      <c r="I23" s="7" t="s">
        <v>627</v>
      </c>
      <c r="J23" s="7" t="s">
        <v>1065</v>
      </c>
      <c r="K23" s="7"/>
      <c r="L23" s="7"/>
      <c r="M23" s="7" t="s">
        <v>1448</v>
      </c>
      <c r="N23" s="7" t="s">
        <v>571</v>
      </c>
      <c r="O23" s="7"/>
      <c r="P23" s="7"/>
    </row>
    <row r="24" customFormat="false" ht="57.45" hidden="false" customHeight="false" outlineLevel="0" collapsed="false">
      <c r="A24" s="7" t="s">
        <v>1449</v>
      </c>
      <c r="B24" s="7" t="s">
        <v>1450</v>
      </c>
      <c r="C24" s="7" t="s">
        <v>1349</v>
      </c>
      <c r="D24" s="7" t="s">
        <v>564</v>
      </c>
      <c r="E24" s="7" t="s">
        <v>1451</v>
      </c>
      <c r="F24" s="7" t="s">
        <v>1452</v>
      </c>
      <c r="G24" s="8" t="n">
        <v>0</v>
      </c>
      <c r="H24" s="7" t="s">
        <v>1453</v>
      </c>
      <c r="I24" s="7" t="s">
        <v>627</v>
      </c>
      <c r="J24" s="7" t="s">
        <v>568</v>
      </c>
      <c r="K24" s="7" t="s">
        <v>569</v>
      </c>
      <c r="L24" s="7"/>
      <c r="M24" s="7" t="s">
        <v>1454</v>
      </c>
      <c r="N24" s="7" t="s">
        <v>571</v>
      </c>
      <c r="O24" s="7"/>
      <c r="P24" s="7"/>
    </row>
    <row r="25" customFormat="false" ht="68.65" hidden="false" customHeight="false" outlineLevel="0" collapsed="false">
      <c r="A25" s="7" t="s">
        <v>1455</v>
      </c>
      <c r="B25" s="7" t="s">
        <v>1456</v>
      </c>
      <c r="C25" s="7" t="s">
        <v>1349</v>
      </c>
      <c r="D25" s="7" t="s">
        <v>564</v>
      </c>
      <c r="E25" s="7" t="s">
        <v>1457</v>
      </c>
      <c r="F25" s="7" t="s">
        <v>1458</v>
      </c>
      <c r="G25" s="8" t="n">
        <v>0.1</v>
      </c>
      <c r="H25" s="7" t="s">
        <v>1459</v>
      </c>
      <c r="I25" s="7" t="s">
        <v>598</v>
      </c>
      <c r="J25" s="7" t="s">
        <v>556</v>
      </c>
      <c r="K25" s="7" t="s">
        <v>557</v>
      </c>
      <c r="L25" s="7"/>
      <c r="M25" s="7" t="s">
        <v>1460</v>
      </c>
      <c r="N25" s="7" t="s">
        <v>571</v>
      </c>
      <c r="O25" s="7"/>
      <c r="P25" s="7"/>
    </row>
    <row r="26" customFormat="false" ht="68.65" hidden="false" customHeight="false" outlineLevel="0" collapsed="false">
      <c r="A26" s="7" t="s">
        <v>1461</v>
      </c>
      <c r="B26" s="7" t="s">
        <v>579</v>
      </c>
      <c r="C26" s="7" t="s">
        <v>1349</v>
      </c>
      <c r="D26" s="7" t="s">
        <v>564</v>
      </c>
      <c r="E26" s="7" t="s">
        <v>1462</v>
      </c>
      <c r="F26" s="7" t="s">
        <v>1463</v>
      </c>
      <c r="G26" s="8" t="n">
        <v>1</v>
      </c>
      <c r="H26" s="7" t="s">
        <v>1464</v>
      </c>
      <c r="I26" s="7" t="s">
        <v>347</v>
      </c>
      <c r="J26" s="7" t="s">
        <v>568</v>
      </c>
      <c r="K26" s="7" t="s">
        <v>569</v>
      </c>
      <c r="L26" s="7"/>
      <c r="M26" s="7" t="s">
        <v>1443</v>
      </c>
      <c r="N26" s="7" t="s">
        <v>571</v>
      </c>
      <c r="O26" s="7"/>
      <c r="P26" s="7"/>
    </row>
    <row r="27" customFormat="false" ht="57.45" hidden="false" customHeight="false" outlineLevel="0" collapsed="false">
      <c r="A27" s="7" t="s">
        <v>1465</v>
      </c>
      <c r="B27" s="7" t="s">
        <v>1466</v>
      </c>
      <c r="C27" s="7" t="s">
        <v>1349</v>
      </c>
      <c r="D27" s="7" t="s">
        <v>564</v>
      </c>
      <c r="E27" s="7" t="s">
        <v>1467</v>
      </c>
      <c r="F27" s="7" t="s">
        <v>1468</v>
      </c>
      <c r="G27" s="8" t="n">
        <v>1.5</v>
      </c>
      <c r="H27" s="7" t="s">
        <v>1469</v>
      </c>
      <c r="I27" s="7" t="s">
        <v>250</v>
      </c>
      <c r="J27" s="7" t="s">
        <v>556</v>
      </c>
      <c r="K27" s="7" t="s">
        <v>557</v>
      </c>
      <c r="L27" s="7"/>
      <c r="M27" s="7" t="s">
        <v>1470</v>
      </c>
      <c r="N27" s="7" t="s">
        <v>571</v>
      </c>
      <c r="O27" s="7"/>
      <c r="P27" s="7"/>
    </row>
    <row r="28" customFormat="false" ht="124.6" hidden="false" customHeight="false" outlineLevel="0" collapsed="false">
      <c r="A28" s="7" t="s">
        <v>1471</v>
      </c>
      <c r="B28" s="7" t="s">
        <v>703</v>
      </c>
      <c r="C28" s="7" t="s">
        <v>1349</v>
      </c>
      <c r="D28" s="7" t="s">
        <v>564</v>
      </c>
      <c r="E28" s="7" t="s">
        <v>1472</v>
      </c>
      <c r="F28" s="7" t="s">
        <v>1473</v>
      </c>
      <c r="G28" s="8" t="n">
        <v>1.8</v>
      </c>
      <c r="H28" s="7" t="s">
        <v>1474</v>
      </c>
      <c r="I28" s="7" t="s">
        <v>347</v>
      </c>
      <c r="J28" s="7" t="s">
        <v>568</v>
      </c>
      <c r="K28" s="7" t="s">
        <v>569</v>
      </c>
      <c r="L28" s="7"/>
      <c r="M28" s="7" t="s">
        <v>1443</v>
      </c>
      <c r="N28" s="7" t="s">
        <v>571</v>
      </c>
      <c r="O28" s="7"/>
      <c r="P28" s="7"/>
    </row>
    <row r="29" customFormat="false" ht="68.65" hidden="false" customHeight="false" outlineLevel="0" collapsed="false">
      <c r="A29" s="7" t="s">
        <v>1475</v>
      </c>
      <c r="B29" s="7" t="s">
        <v>707</v>
      </c>
      <c r="C29" s="7" t="s">
        <v>1349</v>
      </c>
      <c r="D29" s="7" t="s">
        <v>564</v>
      </c>
      <c r="E29" s="7" t="s">
        <v>1476</v>
      </c>
      <c r="F29" s="7" t="s">
        <v>1477</v>
      </c>
      <c r="G29" s="8" t="n">
        <v>1</v>
      </c>
      <c r="H29" s="7" t="s">
        <v>1478</v>
      </c>
      <c r="I29" s="7" t="s">
        <v>250</v>
      </c>
      <c r="J29" s="7" t="s">
        <v>556</v>
      </c>
      <c r="K29" s="7" t="s">
        <v>557</v>
      </c>
      <c r="L29" s="7"/>
      <c r="M29" s="7" t="s">
        <v>1267</v>
      </c>
      <c r="N29" s="7" t="s">
        <v>571</v>
      </c>
      <c r="O29" s="7"/>
      <c r="P29" s="7"/>
    </row>
    <row r="30" customFormat="false" ht="46.25" hidden="false" customHeight="false" outlineLevel="0" collapsed="false">
      <c r="A30" s="7" t="s">
        <v>1479</v>
      </c>
      <c r="B30" s="7" t="s">
        <v>1480</v>
      </c>
      <c r="C30" s="7" t="s">
        <v>1349</v>
      </c>
      <c r="D30" s="7" t="s">
        <v>575</v>
      </c>
      <c r="E30" s="7" t="s">
        <v>1481</v>
      </c>
      <c r="F30" s="7" t="s">
        <v>1482</v>
      </c>
      <c r="G30" s="8" t="n">
        <v>0.6</v>
      </c>
      <c r="H30" s="7" t="s">
        <v>1483</v>
      </c>
      <c r="I30" s="7" t="s">
        <v>367</v>
      </c>
      <c r="J30" s="7" t="s">
        <v>568</v>
      </c>
      <c r="K30" s="7" t="s">
        <v>569</v>
      </c>
      <c r="L30" s="7"/>
      <c r="M30" s="7" t="s">
        <v>1484</v>
      </c>
      <c r="N30" s="7" t="s">
        <v>580</v>
      </c>
      <c r="O30" s="7"/>
      <c r="P30" s="7"/>
    </row>
    <row r="31" customFormat="false" ht="91" hidden="false" customHeight="false" outlineLevel="0" collapsed="false">
      <c r="A31" s="7" t="s">
        <v>1485</v>
      </c>
      <c r="B31" s="7" t="s">
        <v>1486</v>
      </c>
      <c r="C31" s="7" t="s">
        <v>1349</v>
      </c>
      <c r="D31" s="7" t="s">
        <v>575</v>
      </c>
      <c r="E31" s="7" t="s">
        <v>1487</v>
      </c>
      <c r="F31" s="7" t="s">
        <v>1488</v>
      </c>
      <c r="G31" s="8" t="n">
        <v>1.2</v>
      </c>
      <c r="H31" s="7" t="s">
        <v>1489</v>
      </c>
      <c r="I31" s="7" t="s">
        <v>367</v>
      </c>
      <c r="J31" s="7" t="s">
        <v>568</v>
      </c>
      <c r="K31" s="7" t="s">
        <v>569</v>
      </c>
      <c r="L31" s="7"/>
      <c r="M31" s="7" t="s">
        <v>368</v>
      </c>
      <c r="N31" s="7" t="s">
        <v>580</v>
      </c>
      <c r="O31" s="7"/>
      <c r="P31" s="7"/>
    </row>
    <row r="32" customFormat="false" ht="46.25" hidden="false" customHeight="false" outlineLevel="0" collapsed="false">
      <c r="A32" s="7" t="s">
        <v>1490</v>
      </c>
      <c r="B32" s="7" t="s">
        <v>1491</v>
      </c>
      <c r="C32" s="7" t="s">
        <v>1349</v>
      </c>
      <c r="D32" s="7" t="s">
        <v>575</v>
      </c>
      <c r="E32" s="7" t="s">
        <v>1492</v>
      </c>
      <c r="F32" s="7" t="s">
        <v>1493</v>
      </c>
      <c r="G32" s="8" t="n">
        <v>0.5</v>
      </c>
      <c r="H32" s="7" t="s">
        <v>1494</v>
      </c>
      <c r="I32" s="7" t="s">
        <v>367</v>
      </c>
      <c r="J32" s="7" t="s">
        <v>556</v>
      </c>
      <c r="K32" s="7" t="s">
        <v>557</v>
      </c>
      <c r="L32" s="7"/>
      <c r="M32" s="7" t="s">
        <v>1091</v>
      </c>
      <c r="N32" s="7" t="s">
        <v>580</v>
      </c>
      <c r="O32" s="7"/>
      <c r="P32" s="7"/>
    </row>
    <row r="33" customFormat="false" ht="68.65" hidden="false" customHeight="false" outlineLevel="0" collapsed="false">
      <c r="A33" s="7" t="s">
        <v>1495</v>
      </c>
      <c r="B33" s="7" t="s">
        <v>1496</v>
      </c>
      <c r="C33" s="7" t="s">
        <v>1349</v>
      </c>
      <c r="D33" s="7" t="s">
        <v>575</v>
      </c>
      <c r="E33" s="7" t="s">
        <v>1497</v>
      </c>
      <c r="F33" s="7" t="s">
        <v>1498</v>
      </c>
      <c r="G33" s="8" t="n">
        <v>1</v>
      </c>
      <c r="H33" s="7" t="s">
        <v>1499</v>
      </c>
      <c r="I33" s="7" t="s">
        <v>367</v>
      </c>
      <c r="J33" s="7" t="s">
        <v>556</v>
      </c>
      <c r="K33" s="7" t="s">
        <v>557</v>
      </c>
      <c r="L33" s="7"/>
      <c r="M33" s="7" t="s">
        <v>1500</v>
      </c>
      <c r="N33" s="7" t="s">
        <v>580</v>
      </c>
      <c r="O33" s="7"/>
      <c r="P33" s="7"/>
    </row>
    <row r="34" customFormat="false" ht="57.45" hidden="false" customHeight="false" outlineLevel="0" collapsed="false">
      <c r="A34" s="7" t="s">
        <v>1501</v>
      </c>
      <c r="B34" s="7" t="s">
        <v>1502</v>
      </c>
      <c r="C34" s="7" t="s">
        <v>1349</v>
      </c>
      <c r="D34" s="7" t="s">
        <v>575</v>
      </c>
      <c r="E34" s="7" t="s">
        <v>1503</v>
      </c>
      <c r="F34" s="7" t="s">
        <v>1504</v>
      </c>
      <c r="G34" s="8" t="n">
        <v>1</v>
      </c>
      <c r="H34" s="7" t="s">
        <v>1505</v>
      </c>
      <c r="I34" s="7" t="s">
        <v>367</v>
      </c>
      <c r="J34" s="7" t="s">
        <v>556</v>
      </c>
      <c r="K34" s="7" t="s">
        <v>557</v>
      </c>
      <c r="L34" s="7"/>
      <c r="M34" s="7" t="s">
        <v>368</v>
      </c>
      <c r="N34" s="7" t="s">
        <v>580</v>
      </c>
      <c r="O34" s="7"/>
      <c r="P34" s="7"/>
    </row>
    <row r="35" customFormat="false" ht="79.85" hidden="false" customHeight="false" outlineLevel="0" collapsed="false">
      <c r="A35" s="7" t="s">
        <v>1506</v>
      </c>
      <c r="B35" s="7" t="s">
        <v>1507</v>
      </c>
      <c r="C35" s="7" t="s">
        <v>1349</v>
      </c>
      <c r="D35" s="7" t="s">
        <v>575</v>
      </c>
      <c r="E35" s="7" t="s">
        <v>1508</v>
      </c>
      <c r="F35" s="7" t="s">
        <v>1509</v>
      </c>
      <c r="G35" s="8" t="n">
        <v>0.6</v>
      </c>
      <c r="H35" s="7" t="s">
        <v>1510</v>
      </c>
      <c r="I35" s="7" t="s">
        <v>367</v>
      </c>
      <c r="J35" s="7" t="s">
        <v>556</v>
      </c>
      <c r="K35" s="7" t="s">
        <v>557</v>
      </c>
      <c r="L35" s="7"/>
      <c r="M35" s="7" t="s">
        <v>368</v>
      </c>
      <c r="N35" s="7" t="s">
        <v>580</v>
      </c>
      <c r="O35" s="7"/>
      <c r="P35" s="7"/>
    </row>
    <row r="36" customFormat="false" ht="35.05" hidden="false" customHeight="false" outlineLevel="0" collapsed="false">
      <c r="A36" s="7" t="s">
        <v>1511</v>
      </c>
      <c r="B36" s="7" t="s">
        <v>1512</v>
      </c>
      <c r="C36" s="7" t="s">
        <v>1349</v>
      </c>
      <c r="D36" s="7" t="s">
        <v>575</v>
      </c>
      <c r="E36" s="7" t="s">
        <v>1513</v>
      </c>
      <c r="F36" s="7" t="s">
        <v>1514</v>
      </c>
      <c r="G36" s="8" t="n">
        <v>0.1</v>
      </c>
      <c r="H36" s="7" t="s">
        <v>1515</v>
      </c>
      <c r="I36" s="7" t="s">
        <v>367</v>
      </c>
      <c r="J36" s="7" t="s">
        <v>556</v>
      </c>
      <c r="K36" s="7" t="s">
        <v>557</v>
      </c>
      <c r="L36" s="7"/>
      <c r="M36" s="7"/>
      <c r="N36" s="7"/>
      <c r="O36" s="7"/>
      <c r="P36" s="7"/>
    </row>
    <row r="37" customFormat="false" ht="46.25" hidden="false" customHeight="false" outlineLevel="0" collapsed="false">
      <c r="A37" s="7" t="s">
        <v>1516</v>
      </c>
      <c r="B37" s="7" t="s">
        <v>1517</v>
      </c>
      <c r="C37" s="7" t="s">
        <v>1349</v>
      </c>
      <c r="D37" s="7" t="s">
        <v>584</v>
      </c>
      <c r="E37" s="7" t="s">
        <v>1518</v>
      </c>
      <c r="F37" s="7" t="s">
        <v>1519</v>
      </c>
      <c r="G37" s="8" t="n">
        <v>0.4</v>
      </c>
      <c r="H37" s="7" t="s">
        <v>1520</v>
      </c>
      <c r="I37" s="7" t="s">
        <v>347</v>
      </c>
      <c r="J37" s="7" t="s">
        <v>1065</v>
      </c>
      <c r="K37" s="7"/>
      <c r="L37" s="7"/>
      <c r="M37" s="7"/>
      <c r="N37" s="7" t="s">
        <v>590</v>
      </c>
      <c r="O37" s="7"/>
      <c r="P37" s="7"/>
    </row>
    <row r="38" customFormat="false" ht="46.25" hidden="false" customHeight="false" outlineLevel="0" collapsed="false">
      <c r="A38" s="7" t="s">
        <v>1521</v>
      </c>
      <c r="B38" s="7" t="s">
        <v>1522</v>
      </c>
      <c r="C38" s="7" t="s">
        <v>1349</v>
      </c>
      <c r="D38" s="7" t="s">
        <v>584</v>
      </c>
      <c r="E38" s="7" t="s">
        <v>1523</v>
      </c>
      <c r="F38" s="7" t="s">
        <v>1524</v>
      </c>
      <c r="G38" s="8" t="n">
        <v>0.1</v>
      </c>
      <c r="H38" s="7" t="s">
        <v>1525</v>
      </c>
      <c r="I38" s="7" t="s">
        <v>347</v>
      </c>
      <c r="J38" s="7" t="s">
        <v>568</v>
      </c>
      <c r="K38" s="7" t="s">
        <v>569</v>
      </c>
      <c r="L38" s="7"/>
      <c r="M38" s="7"/>
      <c r="N38" s="7" t="s">
        <v>590</v>
      </c>
      <c r="O38" s="7"/>
      <c r="P38" s="7"/>
    </row>
    <row r="39" customFormat="false" ht="46.25" hidden="false" customHeight="false" outlineLevel="0" collapsed="false">
      <c r="A39" s="7" t="s">
        <v>1526</v>
      </c>
      <c r="B39" s="7" t="s">
        <v>1527</v>
      </c>
      <c r="C39" s="7" t="s">
        <v>1349</v>
      </c>
      <c r="D39" s="7" t="s">
        <v>584</v>
      </c>
      <c r="E39" s="7" t="s">
        <v>1528</v>
      </c>
      <c r="F39" s="7" t="s">
        <v>1529</v>
      </c>
      <c r="G39" s="8" t="n">
        <v>0.3</v>
      </c>
      <c r="H39" s="7" t="s">
        <v>1530</v>
      </c>
      <c r="I39" s="7" t="s">
        <v>347</v>
      </c>
      <c r="J39" s="7" t="s">
        <v>568</v>
      </c>
      <c r="K39" s="7" t="s">
        <v>569</v>
      </c>
      <c r="L39" s="7"/>
      <c r="M39" s="7" t="s">
        <v>618</v>
      </c>
      <c r="N39" s="7" t="s">
        <v>1531</v>
      </c>
      <c r="O39" s="7"/>
      <c r="P39" s="7"/>
    </row>
    <row r="40" customFormat="false" ht="46.25" hidden="false" customHeight="false" outlineLevel="0" collapsed="false">
      <c r="A40" s="7" t="s">
        <v>1532</v>
      </c>
      <c r="B40" s="7" t="s">
        <v>1533</v>
      </c>
      <c r="C40" s="7" t="s">
        <v>1349</v>
      </c>
      <c r="D40" s="7" t="s">
        <v>584</v>
      </c>
      <c r="E40" s="7" t="s">
        <v>1534</v>
      </c>
      <c r="F40" s="7" t="s">
        <v>1535</v>
      </c>
      <c r="G40" s="8" t="n">
        <v>0.3</v>
      </c>
      <c r="H40" s="7" t="s">
        <v>1536</v>
      </c>
      <c r="I40" s="7" t="s">
        <v>347</v>
      </c>
      <c r="J40" s="7" t="s">
        <v>568</v>
      </c>
      <c r="K40" s="7" t="s">
        <v>569</v>
      </c>
      <c r="L40" s="7"/>
      <c r="M40" s="7" t="s">
        <v>1537</v>
      </c>
      <c r="N40" s="7" t="s">
        <v>1531</v>
      </c>
      <c r="O40" s="7"/>
      <c r="P40" s="7"/>
    </row>
    <row r="41" customFormat="false" ht="57.45" hidden="false" customHeight="false" outlineLevel="0" collapsed="false">
      <c r="A41" s="7" t="s">
        <v>1538</v>
      </c>
      <c r="B41" s="7" t="s">
        <v>1539</v>
      </c>
      <c r="C41" s="7" t="s">
        <v>1349</v>
      </c>
      <c r="D41" s="7" t="s">
        <v>584</v>
      </c>
      <c r="E41" s="7" t="s">
        <v>1540</v>
      </c>
      <c r="F41" s="7" t="s">
        <v>1541</v>
      </c>
      <c r="G41" s="8" t="n">
        <v>0.1</v>
      </c>
      <c r="H41" s="7" t="s">
        <v>1542</v>
      </c>
      <c r="I41" s="7" t="s">
        <v>347</v>
      </c>
      <c r="J41" s="7" t="s">
        <v>568</v>
      </c>
      <c r="K41" s="7" t="s">
        <v>569</v>
      </c>
      <c r="L41" s="7"/>
      <c r="M41" s="7"/>
      <c r="N41" s="7" t="s">
        <v>590</v>
      </c>
      <c r="O41" s="7"/>
      <c r="P41" s="7"/>
    </row>
    <row r="42" customFormat="false" ht="35.05" hidden="false" customHeight="false" outlineLevel="0" collapsed="false">
      <c r="A42" s="7" t="s">
        <v>1543</v>
      </c>
      <c r="B42" s="7" t="s">
        <v>1544</v>
      </c>
      <c r="C42" s="7" t="s">
        <v>1349</v>
      </c>
      <c r="D42" s="7" t="s">
        <v>584</v>
      </c>
      <c r="E42" s="7" t="s">
        <v>1545</v>
      </c>
      <c r="F42" s="7" t="s">
        <v>1519</v>
      </c>
      <c r="G42" s="8" t="n">
        <v>0.1</v>
      </c>
      <c r="H42" s="7" t="s">
        <v>1546</v>
      </c>
      <c r="I42" s="7" t="s">
        <v>347</v>
      </c>
      <c r="J42" s="7" t="s">
        <v>1065</v>
      </c>
      <c r="K42" s="7"/>
      <c r="L42" s="7"/>
      <c r="M42" s="7"/>
      <c r="N42" s="7" t="s">
        <v>590</v>
      </c>
      <c r="O42" s="7"/>
      <c r="P42" s="7"/>
    </row>
    <row r="43" customFormat="false" ht="57.45" hidden="false" customHeight="false" outlineLevel="0" collapsed="false">
      <c r="A43" s="7" t="s">
        <v>1547</v>
      </c>
      <c r="B43" s="7" t="s">
        <v>1548</v>
      </c>
      <c r="C43" s="7" t="s">
        <v>1349</v>
      </c>
      <c r="D43" s="7" t="s">
        <v>584</v>
      </c>
      <c r="E43" s="7" t="s">
        <v>1549</v>
      </c>
      <c r="F43" s="7" t="s">
        <v>1550</v>
      </c>
      <c r="G43" s="8" t="n">
        <v>0.1</v>
      </c>
      <c r="H43" s="7" t="s">
        <v>1551</v>
      </c>
      <c r="I43" s="7" t="s">
        <v>347</v>
      </c>
      <c r="J43" s="7" t="s">
        <v>568</v>
      </c>
      <c r="K43" s="7" t="s">
        <v>569</v>
      </c>
      <c r="L43" s="7"/>
      <c r="M43" s="7"/>
      <c r="N43" s="7" t="s">
        <v>590</v>
      </c>
      <c r="O43" s="7"/>
      <c r="P43" s="7"/>
    </row>
    <row r="44" customFormat="false" ht="68.65" hidden="false" customHeight="false" outlineLevel="0" collapsed="false">
      <c r="A44" s="7" t="s">
        <v>1552</v>
      </c>
      <c r="B44" s="7" t="s">
        <v>1553</v>
      </c>
      <c r="C44" s="7" t="s">
        <v>1349</v>
      </c>
      <c r="D44" s="7" t="s">
        <v>584</v>
      </c>
      <c r="E44" s="7" t="s">
        <v>1554</v>
      </c>
      <c r="F44" s="7" t="s">
        <v>1555</v>
      </c>
      <c r="G44" s="8" t="n">
        <v>0.4</v>
      </c>
      <c r="H44" s="7" t="s">
        <v>1556</v>
      </c>
      <c r="I44" s="7" t="s">
        <v>347</v>
      </c>
      <c r="J44" s="7" t="s">
        <v>568</v>
      </c>
      <c r="K44" s="7" t="s">
        <v>569</v>
      </c>
      <c r="L44" s="7"/>
      <c r="M44" s="7" t="s">
        <v>1557</v>
      </c>
      <c r="N44" s="7" t="s">
        <v>590</v>
      </c>
      <c r="O44" s="7"/>
      <c r="P44" s="7"/>
    </row>
    <row r="45" customFormat="false" ht="35.05" hidden="false" customHeight="false" outlineLevel="0" collapsed="false">
      <c r="A45" s="7" t="s">
        <v>1558</v>
      </c>
      <c r="B45" s="7" t="s">
        <v>1559</v>
      </c>
      <c r="C45" s="7" t="s">
        <v>1349</v>
      </c>
      <c r="D45" s="7" t="s">
        <v>584</v>
      </c>
      <c r="E45" s="7" t="s">
        <v>1560</v>
      </c>
      <c r="F45" s="7" t="s">
        <v>1561</v>
      </c>
      <c r="G45" s="8" t="n">
        <v>0.4</v>
      </c>
      <c r="H45" s="7" t="s">
        <v>1562</v>
      </c>
      <c r="I45" s="7" t="s">
        <v>347</v>
      </c>
      <c r="J45" s="7" t="s">
        <v>556</v>
      </c>
      <c r="K45" s="7" t="s">
        <v>557</v>
      </c>
      <c r="L45" s="7"/>
      <c r="M45" s="7" t="s">
        <v>1563</v>
      </c>
      <c r="N45" s="7" t="s">
        <v>590</v>
      </c>
      <c r="O45" s="7"/>
      <c r="P45" s="7"/>
    </row>
    <row r="46" customFormat="false" ht="79.85" hidden="false" customHeight="false" outlineLevel="0" collapsed="false">
      <c r="A46" s="7" t="s">
        <v>1564</v>
      </c>
      <c r="B46" s="7" t="s">
        <v>599</v>
      </c>
      <c r="C46" s="7" t="s">
        <v>1349</v>
      </c>
      <c r="D46" s="7" t="s">
        <v>584</v>
      </c>
      <c r="E46" s="7" t="s">
        <v>1565</v>
      </c>
      <c r="F46" s="7" t="s">
        <v>1566</v>
      </c>
      <c r="G46" s="8" t="n">
        <v>0.1</v>
      </c>
      <c r="H46" s="7" t="s">
        <v>1567</v>
      </c>
      <c r="I46" s="7" t="s">
        <v>367</v>
      </c>
      <c r="J46" s="7" t="s">
        <v>568</v>
      </c>
      <c r="K46" s="7" t="s">
        <v>569</v>
      </c>
      <c r="L46" s="7"/>
      <c r="M46" s="7" t="s">
        <v>1568</v>
      </c>
      <c r="N46" s="7" t="s">
        <v>1131</v>
      </c>
      <c r="O46" s="7"/>
      <c r="P46" s="7"/>
    </row>
    <row r="47" customFormat="false" ht="57.45" hidden="false" customHeight="false" outlineLevel="0" collapsed="false">
      <c r="A47" s="7" t="s">
        <v>1569</v>
      </c>
      <c r="B47" s="7" t="s">
        <v>1570</v>
      </c>
      <c r="C47" s="7" t="s">
        <v>1349</v>
      </c>
      <c r="D47" s="7" t="s">
        <v>584</v>
      </c>
      <c r="E47" s="7" t="s">
        <v>1571</v>
      </c>
      <c r="F47" s="7" t="s">
        <v>1572</v>
      </c>
      <c r="G47" s="8" t="n">
        <v>0.2</v>
      </c>
      <c r="H47" s="7" t="s">
        <v>1573</v>
      </c>
      <c r="I47" s="7" t="s">
        <v>367</v>
      </c>
      <c r="J47" s="7" t="s">
        <v>568</v>
      </c>
      <c r="K47" s="7" t="s">
        <v>569</v>
      </c>
      <c r="L47" s="7"/>
      <c r="M47" s="7" t="s">
        <v>1568</v>
      </c>
      <c r="N47" s="7" t="s">
        <v>1131</v>
      </c>
      <c r="O47" s="7"/>
      <c r="P47" s="7"/>
    </row>
    <row r="48" customFormat="false" ht="57.45" hidden="false" customHeight="false" outlineLevel="0" collapsed="false">
      <c r="A48" s="7" t="s">
        <v>1574</v>
      </c>
      <c r="B48" s="7" t="s">
        <v>1575</v>
      </c>
      <c r="C48" s="7" t="s">
        <v>1349</v>
      </c>
      <c r="D48" s="7" t="s">
        <v>584</v>
      </c>
      <c r="E48" s="7" t="s">
        <v>1576</v>
      </c>
      <c r="F48" s="7" t="s">
        <v>1577</v>
      </c>
      <c r="G48" s="8" t="n">
        <v>0.3</v>
      </c>
      <c r="H48" s="7" t="s">
        <v>1578</v>
      </c>
      <c r="I48" s="7" t="s">
        <v>367</v>
      </c>
      <c r="J48" s="7" t="s">
        <v>568</v>
      </c>
      <c r="K48" s="7" t="s">
        <v>569</v>
      </c>
      <c r="L48" s="7"/>
      <c r="M48" s="7" t="s">
        <v>1568</v>
      </c>
      <c r="N48" s="7" t="s">
        <v>1131</v>
      </c>
      <c r="O48" s="7"/>
      <c r="P48" s="7"/>
    </row>
    <row r="49" customFormat="false" ht="57.45" hidden="false" customHeight="false" outlineLevel="0" collapsed="false">
      <c r="A49" s="7" t="s">
        <v>1579</v>
      </c>
      <c r="B49" s="7" t="s">
        <v>1580</v>
      </c>
      <c r="C49" s="7" t="s">
        <v>1349</v>
      </c>
      <c r="D49" s="7" t="s">
        <v>584</v>
      </c>
      <c r="E49" s="7" t="s">
        <v>1581</v>
      </c>
      <c r="F49" s="7" t="s">
        <v>1582</v>
      </c>
      <c r="G49" s="8" t="n">
        <v>0.3</v>
      </c>
      <c r="H49" s="7" t="s">
        <v>1583</v>
      </c>
      <c r="I49" s="7" t="s">
        <v>367</v>
      </c>
      <c r="J49" s="7" t="s">
        <v>568</v>
      </c>
      <c r="K49" s="7" t="s">
        <v>569</v>
      </c>
      <c r="L49" s="7"/>
      <c r="M49" s="7" t="s">
        <v>1568</v>
      </c>
      <c r="N49" s="7" t="s">
        <v>1131</v>
      </c>
      <c r="O49" s="7"/>
      <c r="P49" s="7"/>
    </row>
    <row r="50" customFormat="false" ht="46.25" hidden="false" customHeight="false" outlineLevel="0" collapsed="false">
      <c r="A50" s="7" t="s">
        <v>1584</v>
      </c>
      <c r="B50" s="7" t="s">
        <v>801</v>
      </c>
      <c r="C50" s="7" t="s">
        <v>1349</v>
      </c>
      <c r="D50" s="7" t="s">
        <v>584</v>
      </c>
      <c r="E50" s="7" t="s">
        <v>1585</v>
      </c>
      <c r="F50" s="7" t="s">
        <v>1586</v>
      </c>
      <c r="G50" s="8" t="n">
        <v>0.2</v>
      </c>
      <c r="H50" s="7" t="s">
        <v>1587</v>
      </c>
      <c r="I50" s="7" t="s">
        <v>367</v>
      </c>
      <c r="J50" s="7" t="s">
        <v>628</v>
      </c>
      <c r="K50" s="7" t="s">
        <v>569</v>
      </c>
      <c r="L50" s="7"/>
      <c r="M50" s="7" t="s">
        <v>609</v>
      </c>
      <c r="N50" s="7" t="s">
        <v>1131</v>
      </c>
      <c r="O50" s="7"/>
      <c r="P50" s="7"/>
    </row>
    <row r="51" customFormat="false" ht="102.2" hidden="false" customHeight="false" outlineLevel="0" collapsed="false">
      <c r="A51" s="7" t="s">
        <v>1588</v>
      </c>
      <c r="B51" s="7" t="s">
        <v>1589</v>
      </c>
      <c r="C51" s="7" t="s">
        <v>1349</v>
      </c>
      <c r="D51" s="7" t="s">
        <v>584</v>
      </c>
      <c r="E51" s="7" t="s">
        <v>1590</v>
      </c>
      <c r="F51" s="7" t="s">
        <v>1591</v>
      </c>
      <c r="G51" s="8" t="n">
        <v>0.4</v>
      </c>
      <c r="H51" s="7" t="s">
        <v>1592</v>
      </c>
      <c r="I51" s="7" t="s">
        <v>367</v>
      </c>
      <c r="J51" s="7" t="s">
        <v>568</v>
      </c>
      <c r="K51" s="7" t="s">
        <v>569</v>
      </c>
      <c r="L51" s="7"/>
      <c r="M51" s="7" t="s">
        <v>1593</v>
      </c>
      <c r="N51" s="7" t="s">
        <v>1034</v>
      </c>
      <c r="O51" s="7" t="s">
        <v>133</v>
      </c>
      <c r="P51" s="7"/>
    </row>
    <row r="52" customFormat="false" ht="35.05" hidden="false" customHeight="false" outlineLevel="0" collapsed="false">
      <c r="A52" s="7" t="s">
        <v>1594</v>
      </c>
      <c r="B52" s="7" t="s">
        <v>808</v>
      </c>
      <c r="C52" s="7" t="s">
        <v>1349</v>
      </c>
      <c r="D52" s="7" t="s">
        <v>584</v>
      </c>
      <c r="E52" s="7" t="s">
        <v>1595</v>
      </c>
      <c r="F52" s="7" t="s">
        <v>1262</v>
      </c>
      <c r="G52" s="8" t="n">
        <v>0.4</v>
      </c>
      <c r="H52" s="7" t="s">
        <v>1596</v>
      </c>
      <c r="I52" s="7" t="s">
        <v>367</v>
      </c>
      <c r="J52" s="7" t="s">
        <v>1065</v>
      </c>
      <c r="K52" s="7"/>
      <c r="L52" s="7"/>
      <c r="M52" s="7" t="s">
        <v>1597</v>
      </c>
      <c r="N52" s="7" t="s">
        <v>590</v>
      </c>
      <c r="O52" s="7"/>
      <c r="P52" s="7"/>
    </row>
    <row r="53" customFormat="false" ht="46.25" hidden="false" customHeight="false" outlineLevel="0" collapsed="false">
      <c r="A53" s="7" t="s">
        <v>1598</v>
      </c>
      <c r="B53" s="7" t="s">
        <v>812</v>
      </c>
      <c r="C53" s="7" t="s">
        <v>1349</v>
      </c>
      <c r="D53" s="7" t="s">
        <v>584</v>
      </c>
      <c r="E53" s="7" t="s">
        <v>1599</v>
      </c>
      <c r="F53" s="7" t="s">
        <v>1262</v>
      </c>
      <c r="G53" s="8" t="n">
        <v>0.6</v>
      </c>
      <c r="H53" s="7" t="s">
        <v>1600</v>
      </c>
      <c r="I53" s="7" t="s">
        <v>347</v>
      </c>
      <c r="J53" s="7" t="s">
        <v>1065</v>
      </c>
      <c r="K53" s="7"/>
      <c r="L53" s="7"/>
      <c r="M53" s="7" t="s">
        <v>1146</v>
      </c>
      <c r="N53" s="7" t="s">
        <v>590</v>
      </c>
      <c r="O53" s="7"/>
      <c r="P53" s="7"/>
    </row>
    <row r="54" customFormat="false" ht="57.45" hidden="false" customHeight="false" outlineLevel="0" collapsed="false">
      <c r="A54" s="7" t="s">
        <v>1601</v>
      </c>
      <c r="B54" s="7" t="s">
        <v>816</v>
      </c>
      <c r="C54" s="7" t="s">
        <v>1349</v>
      </c>
      <c r="D54" s="7" t="s">
        <v>584</v>
      </c>
      <c r="E54" s="7" t="s">
        <v>1602</v>
      </c>
      <c r="F54" s="7" t="s">
        <v>1603</v>
      </c>
      <c r="G54" s="8" t="n">
        <v>0.4</v>
      </c>
      <c r="H54" s="7" t="s">
        <v>1604</v>
      </c>
      <c r="I54" s="7" t="s">
        <v>347</v>
      </c>
      <c r="J54" s="7" t="s">
        <v>568</v>
      </c>
      <c r="K54" s="7" t="s">
        <v>569</v>
      </c>
      <c r="L54" s="7"/>
      <c r="M54" s="7" t="s">
        <v>1605</v>
      </c>
      <c r="N54" s="7" t="s">
        <v>590</v>
      </c>
      <c r="O54" s="7"/>
      <c r="P54" s="7"/>
    </row>
    <row r="55" customFormat="false" ht="68.65" hidden="false" customHeight="false" outlineLevel="0" collapsed="false">
      <c r="A55" s="7" t="s">
        <v>1606</v>
      </c>
      <c r="B55" s="7" t="s">
        <v>1607</v>
      </c>
      <c r="C55" s="7" t="s">
        <v>1349</v>
      </c>
      <c r="D55" s="7" t="s">
        <v>584</v>
      </c>
      <c r="E55" s="7" t="s">
        <v>1608</v>
      </c>
      <c r="F55" s="7" t="s">
        <v>1609</v>
      </c>
      <c r="G55" s="8" t="n">
        <v>0.6</v>
      </c>
      <c r="H55" s="7" t="s">
        <v>1610</v>
      </c>
      <c r="I55" s="7" t="s">
        <v>523</v>
      </c>
      <c r="J55" s="7" t="s">
        <v>568</v>
      </c>
      <c r="K55" s="7" t="s">
        <v>569</v>
      </c>
      <c r="L55" s="7"/>
      <c r="M55" s="7" t="s">
        <v>589</v>
      </c>
      <c r="N55" s="7" t="s">
        <v>590</v>
      </c>
      <c r="O55" s="7"/>
      <c r="P55" s="7"/>
    </row>
    <row r="56" customFormat="false" ht="57.45" hidden="false" customHeight="false" outlineLevel="0" collapsed="false">
      <c r="A56" s="7" t="s">
        <v>1611</v>
      </c>
      <c r="B56" s="7" t="s">
        <v>1612</v>
      </c>
      <c r="C56" s="7" t="s">
        <v>1349</v>
      </c>
      <c r="D56" s="7" t="s">
        <v>584</v>
      </c>
      <c r="E56" s="7" t="s">
        <v>1613</v>
      </c>
      <c r="F56" s="7" t="s">
        <v>1614</v>
      </c>
      <c r="G56" s="8" t="n">
        <v>0.1</v>
      </c>
      <c r="H56" s="7" t="s">
        <v>1615</v>
      </c>
      <c r="I56" s="7" t="s">
        <v>367</v>
      </c>
      <c r="J56" s="7" t="s">
        <v>568</v>
      </c>
      <c r="K56" s="7" t="s">
        <v>569</v>
      </c>
      <c r="L56" s="7"/>
      <c r="M56" s="7" t="s">
        <v>1150</v>
      </c>
      <c r="N56" s="7" t="s">
        <v>1034</v>
      </c>
      <c r="O56" s="7" t="s">
        <v>133</v>
      </c>
      <c r="P56" s="7"/>
    </row>
    <row r="57" customFormat="false" ht="57.45" hidden="false" customHeight="false" outlineLevel="0" collapsed="false">
      <c r="A57" s="7" t="s">
        <v>1616</v>
      </c>
      <c r="B57" s="7" t="s">
        <v>1617</v>
      </c>
      <c r="C57" s="7" t="s">
        <v>1349</v>
      </c>
      <c r="D57" s="7" t="s">
        <v>584</v>
      </c>
      <c r="E57" s="7" t="s">
        <v>1618</v>
      </c>
      <c r="F57" s="7" t="s">
        <v>1619</v>
      </c>
      <c r="G57" s="8" t="n">
        <v>0.1</v>
      </c>
      <c r="H57" s="7" t="s">
        <v>1620</v>
      </c>
      <c r="I57" s="7" t="s">
        <v>347</v>
      </c>
      <c r="J57" s="7" t="s">
        <v>568</v>
      </c>
      <c r="K57" s="7" t="s">
        <v>569</v>
      </c>
      <c r="L57" s="7"/>
      <c r="M57" s="7" t="s">
        <v>1150</v>
      </c>
      <c r="N57" s="7" t="s">
        <v>1034</v>
      </c>
      <c r="O57" s="7" t="s">
        <v>133</v>
      </c>
      <c r="P57" s="7"/>
    </row>
    <row r="58" customFormat="false" ht="57.45" hidden="false" customHeight="false" outlineLevel="0" collapsed="false">
      <c r="A58" s="7" t="s">
        <v>1621</v>
      </c>
      <c r="B58" s="7" t="s">
        <v>1622</v>
      </c>
      <c r="C58" s="7" t="s">
        <v>1349</v>
      </c>
      <c r="D58" s="7" t="s">
        <v>584</v>
      </c>
      <c r="E58" s="7" t="s">
        <v>1623</v>
      </c>
      <c r="F58" s="7" t="s">
        <v>1624</v>
      </c>
      <c r="G58" s="8" t="n">
        <v>0.5</v>
      </c>
      <c r="H58" s="7" t="s">
        <v>1625</v>
      </c>
      <c r="I58" s="7" t="s">
        <v>523</v>
      </c>
      <c r="J58" s="7" t="s">
        <v>628</v>
      </c>
      <c r="K58" s="7" t="s">
        <v>569</v>
      </c>
      <c r="L58" s="7"/>
      <c r="M58" s="7" t="s">
        <v>1150</v>
      </c>
      <c r="N58" s="7" t="s">
        <v>1034</v>
      </c>
      <c r="O58" s="7" t="s">
        <v>133</v>
      </c>
      <c r="P58" s="7"/>
    </row>
    <row r="59" customFormat="false" ht="46.25" hidden="false" customHeight="false" outlineLevel="0" collapsed="false">
      <c r="A59" s="7" t="s">
        <v>1626</v>
      </c>
      <c r="B59" s="7" t="s">
        <v>1627</v>
      </c>
      <c r="C59" s="7" t="s">
        <v>1349</v>
      </c>
      <c r="D59" s="7" t="s">
        <v>584</v>
      </c>
      <c r="E59" s="7" t="s">
        <v>1628</v>
      </c>
      <c r="F59" s="7" t="s">
        <v>1629</v>
      </c>
      <c r="G59" s="8" t="n">
        <v>0.2</v>
      </c>
      <c r="H59" s="7" t="s">
        <v>1630</v>
      </c>
      <c r="I59" s="7" t="s">
        <v>347</v>
      </c>
      <c r="J59" s="7" t="s">
        <v>568</v>
      </c>
      <c r="K59" s="7" t="s">
        <v>569</v>
      </c>
      <c r="L59" s="7"/>
      <c r="M59" s="7" t="s">
        <v>1150</v>
      </c>
      <c r="N59" s="7" t="s">
        <v>1034</v>
      </c>
      <c r="O59" s="7" t="s">
        <v>133</v>
      </c>
      <c r="P59" s="7"/>
    </row>
    <row r="60" customFormat="false" ht="46.25" hidden="false" customHeight="false" outlineLevel="0" collapsed="false">
      <c r="A60" s="7" t="s">
        <v>1631</v>
      </c>
      <c r="B60" s="7" t="s">
        <v>1632</v>
      </c>
      <c r="C60" s="7" t="s">
        <v>1349</v>
      </c>
      <c r="D60" s="7" t="s">
        <v>584</v>
      </c>
      <c r="E60" s="7" t="s">
        <v>1633</v>
      </c>
      <c r="F60" s="7" t="s">
        <v>1634</v>
      </c>
      <c r="G60" s="8" t="n">
        <v>0.3</v>
      </c>
      <c r="H60" s="7" t="s">
        <v>1635</v>
      </c>
      <c r="I60" s="7" t="s">
        <v>367</v>
      </c>
      <c r="J60" s="7" t="s">
        <v>568</v>
      </c>
      <c r="K60" s="7" t="s">
        <v>569</v>
      </c>
      <c r="L60" s="7"/>
      <c r="M60" s="7" t="s">
        <v>1150</v>
      </c>
      <c r="N60" s="7" t="s">
        <v>1034</v>
      </c>
      <c r="O60" s="7" t="s">
        <v>133</v>
      </c>
      <c r="P60" s="7"/>
    </row>
    <row r="61" customFormat="false" ht="46.25" hidden="false" customHeight="false" outlineLevel="0" collapsed="false">
      <c r="A61" s="7" t="s">
        <v>1636</v>
      </c>
      <c r="B61" s="7" t="s">
        <v>1637</v>
      </c>
      <c r="C61" s="7" t="s">
        <v>1349</v>
      </c>
      <c r="D61" s="7" t="s">
        <v>584</v>
      </c>
      <c r="E61" s="7" t="s">
        <v>1638</v>
      </c>
      <c r="F61" s="7" t="s">
        <v>1639</v>
      </c>
      <c r="G61" s="8" t="n">
        <v>0.5</v>
      </c>
      <c r="H61" s="7" t="s">
        <v>1640</v>
      </c>
      <c r="I61" s="7" t="s">
        <v>347</v>
      </c>
      <c r="J61" s="7" t="s">
        <v>568</v>
      </c>
      <c r="K61" s="7" t="s">
        <v>569</v>
      </c>
      <c r="L61" s="7"/>
      <c r="M61" s="7" t="s">
        <v>1150</v>
      </c>
      <c r="N61" s="7" t="s">
        <v>1034</v>
      </c>
      <c r="O61" s="7" t="s">
        <v>133</v>
      </c>
      <c r="P61" s="7"/>
    </row>
    <row r="62" customFormat="false" ht="46.25" hidden="false" customHeight="false" outlineLevel="0" collapsed="false">
      <c r="A62" s="7" t="s">
        <v>1641</v>
      </c>
      <c r="B62" s="7" t="s">
        <v>1642</v>
      </c>
      <c r="C62" s="7" t="s">
        <v>1349</v>
      </c>
      <c r="D62" s="7" t="s">
        <v>584</v>
      </c>
      <c r="E62" s="7" t="s">
        <v>1643</v>
      </c>
      <c r="F62" s="7" t="s">
        <v>1644</v>
      </c>
      <c r="G62" s="8" t="n">
        <v>0.1</v>
      </c>
      <c r="H62" s="7" t="s">
        <v>1645</v>
      </c>
      <c r="I62" s="7" t="s">
        <v>347</v>
      </c>
      <c r="J62" s="7" t="s">
        <v>568</v>
      </c>
      <c r="K62" s="7" t="s">
        <v>569</v>
      </c>
      <c r="L62" s="7"/>
      <c r="M62" s="7" t="s">
        <v>1150</v>
      </c>
      <c r="N62" s="7" t="s">
        <v>1034</v>
      </c>
      <c r="O62" s="7" t="s">
        <v>133</v>
      </c>
      <c r="P62" s="7"/>
    </row>
    <row r="63" customFormat="false" ht="35.05" hidden="false" customHeight="false" outlineLevel="0" collapsed="false">
      <c r="A63" s="7" t="s">
        <v>1646</v>
      </c>
      <c r="B63" s="7" t="s">
        <v>1647</v>
      </c>
      <c r="C63" s="7" t="s">
        <v>1349</v>
      </c>
      <c r="D63" s="7" t="s">
        <v>584</v>
      </c>
      <c r="E63" s="7" t="s">
        <v>1648</v>
      </c>
      <c r="F63" s="7" t="s">
        <v>1649</v>
      </c>
      <c r="G63" s="8" t="n">
        <v>0.5</v>
      </c>
      <c r="H63" s="7" t="s">
        <v>1650</v>
      </c>
      <c r="I63" s="7" t="s">
        <v>627</v>
      </c>
      <c r="J63" s="7" t="s">
        <v>568</v>
      </c>
      <c r="K63" s="7" t="s">
        <v>569</v>
      </c>
      <c r="L63" s="7"/>
      <c r="M63" s="7" t="s">
        <v>1150</v>
      </c>
      <c r="N63" s="7" t="s">
        <v>1034</v>
      </c>
      <c r="O63" s="7" t="s">
        <v>133</v>
      </c>
      <c r="P63" s="7"/>
    </row>
    <row r="64" customFormat="false" ht="57.45" hidden="false" customHeight="false" outlineLevel="0" collapsed="false">
      <c r="A64" s="7" t="s">
        <v>1651</v>
      </c>
      <c r="B64" s="7" t="s">
        <v>1652</v>
      </c>
      <c r="C64" s="7" t="s">
        <v>1349</v>
      </c>
      <c r="D64" s="7" t="s">
        <v>584</v>
      </c>
      <c r="E64" s="7" t="s">
        <v>1653</v>
      </c>
      <c r="F64" s="7" t="s">
        <v>1654</v>
      </c>
      <c r="G64" s="8" t="n">
        <v>0.3</v>
      </c>
      <c r="H64" s="7" t="s">
        <v>1655</v>
      </c>
      <c r="I64" s="7" t="s">
        <v>367</v>
      </c>
      <c r="J64" s="7" t="s">
        <v>568</v>
      </c>
      <c r="K64" s="7" t="s">
        <v>569</v>
      </c>
      <c r="L64" s="7"/>
      <c r="M64" s="7" t="s">
        <v>1150</v>
      </c>
      <c r="N64" s="7" t="s">
        <v>1034</v>
      </c>
      <c r="O64" s="7" t="s">
        <v>133</v>
      </c>
      <c r="P64" s="7"/>
    </row>
    <row r="65" customFormat="false" ht="79.85" hidden="false" customHeight="false" outlineLevel="0" collapsed="false">
      <c r="A65" s="7" t="s">
        <v>1656</v>
      </c>
      <c r="B65" s="7" t="s">
        <v>1657</v>
      </c>
      <c r="C65" s="7" t="s">
        <v>1349</v>
      </c>
      <c r="D65" s="7" t="s">
        <v>584</v>
      </c>
      <c r="E65" s="7" t="s">
        <v>1658</v>
      </c>
      <c r="F65" s="7" t="s">
        <v>1659</v>
      </c>
      <c r="G65" s="8" t="n">
        <v>0.5</v>
      </c>
      <c r="H65" s="7" t="s">
        <v>1660</v>
      </c>
      <c r="I65" s="7" t="s">
        <v>523</v>
      </c>
      <c r="J65" s="7" t="s">
        <v>568</v>
      </c>
      <c r="K65" s="7" t="s">
        <v>569</v>
      </c>
      <c r="L65" s="7"/>
      <c r="M65" s="7" t="s">
        <v>1150</v>
      </c>
      <c r="N65" s="7" t="s">
        <v>1034</v>
      </c>
      <c r="O65" s="7" t="s">
        <v>133</v>
      </c>
      <c r="P65" s="7"/>
    </row>
    <row r="66" customFormat="false" ht="68.65" hidden="false" customHeight="false" outlineLevel="0" collapsed="false">
      <c r="A66" s="7" t="s">
        <v>1661</v>
      </c>
      <c r="B66" s="7" t="s">
        <v>1662</v>
      </c>
      <c r="C66" s="7" t="s">
        <v>1349</v>
      </c>
      <c r="D66" s="7" t="s">
        <v>584</v>
      </c>
      <c r="E66" s="7" t="s">
        <v>1663</v>
      </c>
      <c r="F66" s="7" t="s">
        <v>1664</v>
      </c>
      <c r="G66" s="8" t="n">
        <v>0.1</v>
      </c>
      <c r="H66" s="7" t="s">
        <v>1665</v>
      </c>
      <c r="I66" s="7" t="s">
        <v>523</v>
      </c>
      <c r="J66" s="7" t="s">
        <v>568</v>
      </c>
      <c r="K66" s="7" t="s">
        <v>569</v>
      </c>
      <c r="L66" s="7"/>
      <c r="M66" s="7" t="s">
        <v>1150</v>
      </c>
      <c r="N66" s="7" t="s">
        <v>1034</v>
      </c>
      <c r="O66" s="7" t="s">
        <v>133</v>
      </c>
      <c r="P66" s="7"/>
    </row>
    <row r="67" customFormat="false" ht="46.25" hidden="false" customHeight="false" outlineLevel="0" collapsed="false">
      <c r="A67" s="7" t="s">
        <v>1666</v>
      </c>
      <c r="B67" s="7" t="s">
        <v>1667</v>
      </c>
      <c r="C67" s="7" t="s">
        <v>1349</v>
      </c>
      <c r="D67" s="7" t="s">
        <v>584</v>
      </c>
      <c r="E67" s="7" t="s">
        <v>1668</v>
      </c>
      <c r="F67" s="7" t="s">
        <v>1669</v>
      </c>
      <c r="G67" s="8" t="n">
        <v>0.1</v>
      </c>
      <c r="H67" s="7" t="s">
        <v>1670</v>
      </c>
      <c r="I67" s="7" t="s">
        <v>367</v>
      </c>
      <c r="J67" s="7" t="s">
        <v>568</v>
      </c>
      <c r="K67" s="7" t="s">
        <v>569</v>
      </c>
      <c r="L67" s="7"/>
      <c r="M67" s="7" t="s">
        <v>1150</v>
      </c>
      <c r="N67" s="7" t="s">
        <v>1034</v>
      </c>
      <c r="O67" s="7" t="s">
        <v>133</v>
      </c>
      <c r="P67" s="7"/>
    </row>
    <row r="68" customFormat="false" ht="46.25" hidden="false" customHeight="false" outlineLevel="0" collapsed="false">
      <c r="A68" s="7" t="s">
        <v>1671</v>
      </c>
      <c r="B68" s="7" t="s">
        <v>1672</v>
      </c>
      <c r="C68" s="7" t="s">
        <v>1349</v>
      </c>
      <c r="D68" s="7" t="s">
        <v>584</v>
      </c>
      <c r="E68" s="7" t="s">
        <v>1673</v>
      </c>
      <c r="F68" s="7" t="s">
        <v>1674</v>
      </c>
      <c r="G68" s="8" t="n">
        <v>0.1</v>
      </c>
      <c r="H68" s="7" t="s">
        <v>1675</v>
      </c>
      <c r="I68" s="7" t="s">
        <v>367</v>
      </c>
      <c r="J68" s="7" t="s">
        <v>568</v>
      </c>
      <c r="K68" s="7" t="s">
        <v>569</v>
      </c>
      <c r="L68" s="7"/>
      <c r="M68" s="7" t="s">
        <v>1150</v>
      </c>
      <c r="N68" s="7" t="s">
        <v>1034</v>
      </c>
      <c r="O68" s="7" t="s">
        <v>133</v>
      </c>
      <c r="P68" s="7"/>
    </row>
    <row r="69" customFormat="false" ht="79.85" hidden="false" customHeight="false" outlineLevel="0" collapsed="false">
      <c r="A69" s="7" t="s">
        <v>1676</v>
      </c>
      <c r="B69" s="7" t="s">
        <v>1677</v>
      </c>
      <c r="C69" s="7" t="s">
        <v>1349</v>
      </c>
      <c r="D69" s="7" t="s">
        <v>584</v>
      </c>
      <c r="E69" s="7" t="s">
        <v>1678</v>
      </c>
      <c r="F69" s="7" t="s">
        <v>1679</v>
      </c>
      <c r="G69" s="8" t="n">
        <v>3</v>
      </c>
      <c r="H69" s="7" t="s">
        <v>1680</v>
      </c>
      <c r="I69" s="7" t="s">
        <v>367</v>
      </c>
      <c r="J69" s="7" t="s">
        <v>556</v>
      </c>
      <c r="K69" s="7" t="s">
        <v>557</v>
      </c>
      <c r="L69" s="7"/>
      <c r="M69" s="7" t="s">
        <v>1681</v>
      </c>
      <c r="N69" s="7" t="s">
        <v>1034</v>
      </c>
      <c r="O69" s="7" t="s">
        <v>133</v>
      </c>
      <c r="P69" s="7"/>
    </row>
    <row r="70" customFormat="false" ht="57.45" hidden="false" customHeight="false" outlineLevel="0" collapsed="false">
      <c r="A70" s="7" t="s">
        <v>1682</v>
      </c>
      <c r="B70" s="7" t="s">
        <v>833</v>
      </c>
      <c r="C70" s="7" t="s">
        <v>1349</v>
      </c>
      <c r="D70" s="7" t="s">
        <v>594</v>
      </c>
      <c r="E70" s="7" t="s">
        <v>1683</v>
      </c>
      <c r="F70" s="7" t="s">
        <v>1684</v>
      </c>
      <c r="G70" s="8" t="n">
        <v>0.2</v>
      </c>
      <c r="H70" s="7" t="s">
        <v>1685</v>
      </c>
      <c r="I70" s="7" t="s">
        <v>598</v>
      </c>
      <c r="J70" s="7" t="s">
        <v>568</v>
      </c>
      <c r="K70" s="7" t="s">
        <v>569</v>
      </c>
      <c r="L70" s="7"/>
      <c r="M70" s="7" t="s">
        <v>1154</v>
      </c>
      <c r="N70" s="7" t="s">
        <v>601</v>
      </c>
      <c r="O70" s="7"/>
      <c r="P70" s="7"/>
    </row>
    <row r="71" customFormat="false" ht="57.45" hidden="false" customHeight="false" outlineLevel="0" collapsed="false">
      <c r="A71" s="7" t="s">
        <v>1686</v>
      </c>
      <c r="B71" s="7" t="s">
        <v>838</v>
      </c>
      <c r="C71" s="7" t="s">
        <v>1349</v>
      </c>
      <c r="D71" s="7" t="s">
        <v>594</v>
      </c>
      <c r="E71" s="7" t="s">
        <v>1687</v>
      </c>
      <c r="F71" s="7" t="s">
        <v>1688</v>
      </c>
      <c r="G71" s="8" t="n">
        <v>0.2</v>
      </c>
      <c r="H71" s="7" t="s">
        <v>1689</v>
      </c>
      <c r="I71" s="7" t="s">
        <v>598</v>
      </c>
      <c r="J71" s="7" t="s">
        <v>568</v>
      </c>
      <c r="K71" s="7" t="s">
        <v>569</v>
      </c>
      <c r="L71" s="7"/>
      <c r="M71" s="7" t="s">
        <v>1154</v>
      </c>
      <c r="N71" s="7" t="s">
        <v>601</v>
      </c>
      <c r="O71" s="7"/>
      <c r="P71" s="7"/>
    </row>
    <row r="72" customFormat="false" ht="57.45" hidden="false" customHeight="false" outlineLevel="0" collapsed="false">
      <c r="A72" s="7" t="s">
        <v>1690</v>
      </c>
      <c r="B72" s="7" t="s">
        <v>1691</v>
      </c>
      <c r="C72" s="7" t="s">
        <v>1349</v>
      </c>
      <c r="D72" s="7" t="s">
        <v>594</v>
      </c>
      <c r="E72" s="7" t="s">
        <v>1692</v>
      </c>
      <c r="F72" s="7" t="s">
        <v>1693</v>
      </c>
      <c r="G72" s="8" t="n">
        <v>0.2</v>
      </c>
      <c r="H72" s="7" t="s">
        <v>1694</v>
      </c>
      <c r="I72" s="7" t="s">
        <v>598</v>
      </c>
      <c r="J72" s="7" t="s">
        <v>568</v>
      </c>
      <c r="K72" s="7" t="s">
        <v>569</v>
      </c>
      <c r="L72" s="7"/>
      <c r="M72" s="7" t="s">
        <v>1154</v>
      </c>
      <c r="N72" s="7" t="s">
        <v>601</v>
      </c>
      <c r="O72" s="7"/>
      <c r="P72" s="7"/>
    </row>
    <row r="73" customFormat="false" ht="57.45" hidden="false" customHeight="false" outlineLevel="0" collapsed="false">
      <c r="A73" s="7" t="s">
        <v>1695</v>
      </c>
      <c r="B73" s="7" t="s">
        <v>1696</v>
      </c>
      <c r="C73" s="7" t="s">
        <v>1349</v>
      </c>
      <c r="D73" s="7" t="s">
        <v>594</v>
      </c>
      <c r="E73" s="7" t="s">
        <v>1697</v>
      </c>
      <c r="F73" s="7" t="s">
        <v>1698</v>
      </c>
      <c r="G73" s="8" t="n">
        <v>0.1</v>
      </c>
      <c r="H73" s="7" t="s">
        <v>1699</v>
      </c>
      <c r="I73" s="7" t="s">
        <v>598</v>
      </c>
      <c r="J73" s="7" t="s">
        <v>568</v>
      </c>
      <c r="K73" s="7" t="s">
        <v>569</v>
      </c>
      <c r="L73" s="7"/>
      <c r="M73" s="7" t="s">
        <v>1154</v>
      </c>
      <c r="N73" s="7" t="s">
        <v>601</v>
      </c>
      <c r="O73" s="7"/>
      <c r="P73" s="7"/>
    </row>
    <row r="74" customFormat="false" ht="57.45" hidden="false" customHeight="false" outlineLevel="0" collapsed="false">
      <c r="A74" s="7" t="s">
        <v>1700</v>
      </c>
      <c r="B74" s="7" t="s">
        <v>1701</v>
      </c>
      <c r="C74" s="7" t="s">
        <v>1349</v>
      </c>
      <c r="D74" s="7" t="s">
        <v>594</v>
      </c>
      <c r="E74" s="7" t="s">
        <v>1702</v>
      </c>
      <c r="F74" s="7" t="s">
        <v>1703</v>
      </c>
      <c r="G74" s="8" t="n">
        <v>0.5</v>
      </c>
      <c r="H74" s="7" t="s">
        <v>1704</v>
      </c>
      <c r="I74" s="7" t="s">
        <v>598</v>
      </c>
      <c r="J74" s="7" t="s">
        <v>568</v>
      </c>
      <c r="K74" s="7" t="s">
        <v>569</v>
      </c>
      <c r="L74" s="7"/>
      <c r="M74" s="7" t="s">
        <v>1154</v>
      </c>
      <c r="N74" s="7" t="s">
        <v>601</v>
      </c>
      <c r="O74" s="7"/>
      <c r="P74" s="7"/>
    </row>
    <row r="75" customFormat="false" ht="57.45" hidden="false" customHeight="false" outlineLevel="0" collapsed="false">
      <c r="A75" s="7" t="s">
        <v>1705</v>
      </c>
      <c r="B75" s="7" t="s">
        <v>841</v>
      </c>
      <c r="C75" s="7" t="s">
        <v>1349</v>
      </c>
      <c r="D75" s="7" t="s">
        <v>594</v>
      </c>
      <c r="E75" s="7" t="s">
        <v>1706</v>
      </c>
      <c r="F75" s="7" t="s">
        <v>1707</v>
      </c>
      <c r="G75" s="8" t="n">
        <v>0.3</v>
      </c>
      <c r="H75" s="7" t="s">
        <v>1708</v>
      </c>
      <c r="I75" s="7" t="s">
        <v>598</v>
      </c>
      <c r="J75" s="7" t="s">
        <v>556</v>
      </c>
      <c r="K75" s="7" t="s">
        <v>557</v>
      </c>
      <c r="L75" s="7"/>
      <c r="M75" s="7" t="s">
        <v>1154</v>
      </c>
      <c r="N75" s="7" t="s">
        <v>601</v>
      </c>
      <c r="O75" s="7"/>
      <c r="P75" s="7"/>
    </row>
    <row r="76" customFormat="false" ht="68.65" hidden="false" customHeight="false" outlineLevel="0" collapsed="false">
      <c r="A76" s="7" t="s">
        <v>1709</v>
      </c>
      <c r="B76" s="7" t="s">
        <v>1710</v>
      </c>
      <c r="C76" s="7" t="s">
        <v>1349</v>
      </c>
      <c r="D76" s="7" t="s">
        <v>594</v>
      </c>
      <c r="E76" s="7" t="s">
        <v>1711</v>
      </c>
      <c r="F76" s="7" t="s">
        <v>1712</v>
      </c>
      <c r="G76" s="8" t="n">
        <v>0.1</v>
      </c>
      <c r="H76" s="7" t="s">
        <v>1713</v>
      </c>
      <c r="I76" s="7" t="s">
        <v>598</v>
      </c>
      <c r="J76" s="7" t="s">
        <v>556</v>
      </c>
      <c r="K76" s="7" t="s">
        <v>557</v>
      </c>
      <c r="L76" s="7"/>
      <c r="M76" s="7" t="s">
        <v>1154</v>
      </c>
      <c r="N76" s="7" t="s">
        <v>601</v>
      </c>
      <c r="O76" s="7"/>
      <c r="P76" s="7"/>
    </row>
    <row r="77" customFormat="false" ht="57.45" hidden="false" customHeight="false" outlineLevel="0" collapsed="false">
      <c r="A77" s="7" t="s">
        <v>1714</v>
      </c>
      <c r="B77" s="7" t="s">
        <v>1715</v>
      </c>
      <c r="C77" s="7" t="s">
        <v>1349</v>
      </c>
      <c r="D77" s="7" t="s">
        <v>594</v>
      </c>
      <c r="E77" s="7" t="s">
        <v>1716</v>
      </c>
      <c r="F77" s="7" t="s">
        <v>1717</v>
      </c>
      <c r="G77" s="8" t="n">
        <v>0.1</v>
      </c>
      <c r="H77" s="7" t="s">
        <v>1718</v>
      </c>
      <c r="I77" s="7" t="s">
        <v>598</v>
      </c>
      <c r="J77" s="7" t="s">
        <v>556</v>
      </c>
      <c r="K77" s="7" t="s">
        <v>557</v>
      </c>
      <c r="L77" s="7"/>
      <c r="M77" s="7" t="s">
        <v>1154</v>
      </c>
      <c r="N77" s="7" t="s">
        <v>601</v>
      </c>
      <c r="O77" s="7"/>
      <c r="P77" s="7"/>
    </row>
    <row r="78" customFormat="false" ht="113.4" hidden="false" customHeight="false" outlineLevel="0" collapsed="false">
      <c r="A78" s="7" t="s">
        <v>1719</v>
      </c>
      <c r="B78" s="7" t="s">
        <v>1720</v>
      </c>
      <c r="C78" s="7" t="s">
        <v>1349</v>
      </c>
      <c r="D78" s="7" t="s">
        <v>594</v>
      </c>
      <c r="E78" s="7" t="s">
        <v>1721</v>
      </c>
      <c r="F78" s="7" t="s">
        <v>1722</v>
      </c>
      <c r="G78" s="8" t="n">
        <v>0.6</v>
      </c>
      <c r="H78" s="7" t="s">
        <v>1723</v>
      </c>
      <c r="I78" s="7" t="s">
        <v>598</v>
      </c>
      <c r="J78" s="7" t="s">
        <v>556</v>
      </c>
      <c r="K78" s="7" t="s">
        <v>557</v>
      </c>
      <c r="L78" s="7"/>
      <c r="M78" s="7" t="s">
        <v>1154</v>
      </c>
      <c r="N78" s="7" t="s">
        <v>601</v>
      </c>
      <c r="O78" s="7"/>
      <c r="P78" s="7"/>
    </row>
    <row r="79" customFormat="false" ht="91" hidden="false" customHeight="false" outlineLevel="0" collapsed="false">
      <c r="A79" s="7" t="s">
        <v>1724</v>
      </c>
      <c r="B79" s="7" t="s">
        <v>1725</v>
      </c>
      <c r="C79" s="7" t="s">
        <v>1349</v>
      </c>
      <c r="D79" s="7" t="s">
        <v>594</v>
      </c>
      <c r="E79" s="7" t="s">
        <v>1726</v>
      </c>
      <c r="F79" s="7" t="s">
        <v>1727</v>
      </c>
      <c r="G79" s="8" t="n">
        <v>0.6</v>
      </c>
      <c r="H79" s="7" t="s">
        <v>1728</v>
      </c>
      <c r="I79" s="7" t="s">
        <v>598</v>
      </c>
      <c r="J79" s="7" t="s">
        <v>556</v>
      </c>
      <c r="K79" s="7" t="s">
        <v>557</v>
      </c>
      <c r="L79" s="7"/>
      <c r="M79" s="7" t="s">
        <v>1154</v>
      </c>
      <c r="N79" s="7" t="s">
        <v>601</v>
      </c>
      <c r="O79" s="7"/>
      <c r="P79" s="7"/>
    </row>
    <row r="80" customFormat="false" ht="35.05" hidden="false" customHeight="false" outlineLevel="0" collapsed="false">
      <c r="A80" s="7" t="s">
        <v>1729</v>
      </c>
      <c r="B80" s="7" t="s">
        <v>1730</v>
      </c>
      <c r="C80" s="7" t="s">
        <v>1349</v>
      </c>
      <c r="D80" s="7" t="s">
        <v>594</v>
      </c>
      <c r="E80" s="7" t="s">
        <v>1731</v>
      </c>
      <c r="F80" s="7" t="s">
        <v>1732</v>
      </c>
      <c r="G80" s="8" t="n">
        <v>0.1</v>
      </c>
      <c r="H80" s="7" t="s">
        <v>1733</v>
      </c>
      <c r="I80" s="7" t="s">
        <v>598</v>
      </c>
      <c r="J80" s="7" t="s">
        <v>556</v>
      </c>
      <c r="K80" s="7" t="s">
        <v>557</v>
      </c>
      <c r="L80" s="7"/>
      <c r="M80" s="7" t="s">
        <v>1734</v>
      </c>
      <c r="N80" s="7" t="s">
        <v>601</v>
      </c>
      <c r="O80" s="7"/>
      <c r="P80" s="7"/>
    </row>
    <row r="81" customFormat="false" ht="35.05" hidden="false" customHeight="false" outlineLevel="0" collapsed="false">
      <c r="A81" s="7" t="s">
        <v>1735</v>
      </c>
      <c r="B81" s="7" t="s">
        <v>1736</v>
      </c>
      <c r="C81" s="7" t="s">
        <v>1349</v>
      </c>
      <c r="D81" s="7" t="s">
        <v>594</v>
      </c>
      <c r="E81" s="7" t="s">
        <v>1737</v>
      </c>
      <c r="F81" s="7" t="s">
        <v>1738</v>
      </c>
      <c r="G81" s="8" t="n">
        <v>0.6</v>
      </c>
      <c r="H81" s="7" t="s">
        <v>1739</v>
      </c>
      <c r="I81" s="7" t="s">
        <v>598</v>
      </c>
      <c r="J81" s="7" t="s">
        <v>556</v>
      </c>
      <c r="K81" s="7" t="s">
        <v>557</v>
      </c>
      <c r="L81" s="7"/>
      <c r="M81" s="7" t="s">
        <v>1734</v>
      </c>
      <c r="N81" s="7" t="s">
        <v>601</v>
      </c>
      <c r="O81" s="7"/>
      <c r="P81" s="7"/>
    </row>
    <row r="82" customFormat="false" ht="46.25" hidden="false" customHeight="false" outlineLevel="0" collapsed="false">
      <c r="A82" s="7" t="s">
        <v>1740</v>
      </c>
      <c r="B82" s="7" t="s">
        <v>1741</v>
      </c>
      <c r="C82" s="7" t="s">
        <v>1349</v>
      </c>
      <c r="D82" s="7" t="s">
        <v>594</v>
      </c>
      <c r="E82" s="7" t="s">
        <v>1742</v>
      </c>
      <c r="F82" s="7" t="s">
        <v>1743</v>
      </c>
      <c r="G82" s="8" t="n">
        <v>0.3</v>
      </c>
      <c r="H82" s="7" t="s">
        <v>1744</v>
      </c>
      <c r="I82" s="7" t="s">
        <v>598</v>
      </c>
      <c r="J82" s="7" t="s">
        <v>556</v>
      </c>
      <c r="K82" s="7" t="s">
        <v>557</v>
      </c>
      <c r="L82" s="7"/>
      <c r="M82" s="7" t="s">
        <v>1154</v>
      </c>
      <c r="N82" s="7" t="s">
        <v>601</v>
      </c>
      <c r="O82" s="7"/>
      <c r="P82" s="7"/>
    </row>
    <row r="83" customFormat="false" ht="46.25" hidden="false" customHeight="false" outlineLevel="0" collapsed="false">
      <c r="A83" s="7" t="s">
        <v>1745</v>
      </c>
      <c r="B83" s="7" t="s">
        <v>1746</v>
      </c>
      <c r="C83" s="7" t="s">
        <v>1349</v>
      </c>
      <c r="D83" s="7" t="s">
        <v>594</v>
      </c>
      <c r="E83" s="7" t="s">
        <v>1747</v>
      </c>
      <c r="F83" s="7" t="s">
        <v>1748</v>
      </c>
      <c r="G83" s="8" t="n">
        <v>0.5</v>
      </c>
      <c r="H83" s="7" t="s">
        <v>1749</v>
      </c>
      <c r="I83" s="7" t="s">
        <v>598</v>
      </c>
      <c r="J83" s="7" t="s">
        <v>556</v>
      </c>
      <c r="K83" s="7" t="s">
        <v>557</v>
      </c>
      <c r="L83" s="7"/>
      <c r="M83" s="7" t="s">
        <v>1750</v>
      </c>
      <c r="N83" s="7" t="s">
        <v>601</v>
      </c>
      <c r="O83" s="7"/>
      <c r="P83" s="7"/>
    </row>
    <row r="84" customFormat="false" ht="57.45" hidden="false" customHeight="false" outlineLevel="0" collapsed="false">
      <c r="A84" s="7" t="s">
        <v>1751</v>
      </c>
      <c r="B84" s="7" t="s">
        <v>845</v>
      </c>
      <c r="C84" s="7" t="s">
        <v>1349</v>
      </c>
      <c r="D84" s="7" t="s">
        <v>594</v>
      </c>
      <c r="E84" s="7" t="s">
        <v>1752</v>
      </c>
      <c r="F84" s="7" t="s">
        <v>1753</v>
      </c>
      <c r="G84" s="8" t="n">
        <v>0.3</v>
      </c>
      <c r="H84" s="7" t="s">
        <v>1754</v>
      </c>
      <c r="I84" s="7" t="s">
        <v>523</v>
      </c>
      <c r="J84" s="7" t="s">
        <v>568</v>
      </c>
      <c r="K84" s="7" t="s">
        <v>569</v>
      </c>
      <c r="L84" s="7"/>
      <c r="M84" s="7" t="s">
        <v>609</v>
      </c>
      <c r="N84" s="7" t="s">
        <v>601</v>
      </c>
      <c r="O84" s="7"/>
      <c r="P84" s="7"/>
    </row>
    <row r="85" customFormat="false" ht="57.45" hidden="false" customHeight="false" outlineLevel="0" collapsed="false">
      <c r="A85" s="7" t="s">
        <v>1755</v>
      </c>
      <c r="B85" s="7" t="s">
        <v>849</v>
      </c>
      <c r="C85" s="7" t="s">
        <v>1349</v>
      </c>
      <c r="D85" s="7" t="s">
        <v>594</v>
      </c>
      <c r="E85" s="7" t="s">
        <v>1756</v>
      </c>
      <c r="F85" s="7" t="s">
        <v>1757</v>
      </c>
      <c r="G85" s="8" t="n">
        <v>0.3</v>
      </c>
      <c r="H85" s="7" t="s">
        <v>1758</v>
      </c>
      <c r="I85" s="7" t="s">
        <v>523</v>
      </c>
      <c r="J85" s="7" t="s">
        <v>568</v>
      </c>
      <c r="K85" s="7" t="s">
        <v>569</v>
      </c>
      <c r="L85" s="7"/>
      <c r="M85" s="7" t="s">
        <v>609</v>
      </c>
      <c r="N85" s="7" t="s">
        <v>601</v>
      </c>
      <c r="O85" s="7"/>
      <c r="P85" s="7"/>
    </row>
    <row r="86" customFormat="false" ht="79.85" hidden="false" customHeight="false" outlineLevel="0" collapsed="false">
      <c r="A86" s="7" t="s">
        <v>1759</v>
      </c>
      <c r="B86" s="7" t="s">
        <v>1760</v>
      </c>
      <c r="C86" s="7" t="s">
        <v>1349</v>
      </c>
      <c r="D86" s="7" t="s">
        <v>594</v>
      </c>
      <c r="E86" s="7" t="s">
        <v>1761</v>
      </c>
      <c r="F86" s="7" t="s">
        <v>1762</v>
      </c>
      <c r="G86" s="8" t="n">
        <v>0.4</v>
      </c>
      <c r="H86" s="7" t="s">
        <v>1763</v>
      </c>
      <c r="I86" s="7" t="s">
        <v>523</v>
      </c>
      <c r="J86" s="7" t="s">
        <v>568</v>
      </c>
      <c r="K86" s="7" t="s">
        <v>569</v>
      </c>
      <c r="L86" s="7"/>
      <c r="M86" s="7" t="s">
        <v>609</v>
      </c>
      <c r="N86" s="7" t="s">
        <v>601</v>
      </c>
      <c r="O86" s="7"/>
      <c r="P86" s="7"/>
    </row>
    <row r="87" customFormat="false" ht="68.65" hidden="false" customHeight="false" outlineLevel="0" collapsed="false">
      <c r="A87" s="7" t="s">
        <v>1764</v>
      </c>
      <c r="B87" s="7" t="s">
        <v>852</v>
      </c>
      <c r="C87" s="7" t="s">
        <v>1349</v>
      </c>
      <c r="D87" s="7" t="s">
        <v>594</v>
      </c>
      <c r="E87" s="7" t="s">
        <v>1765</v>
      </c>
      <c r="F87" s="7" t="s">
        <v>1766</v>
      </c>
      <c r="G87" s="8" t="n">
        <v>0.3</v>
      </c>
      <c r="H87" s="7" t="s">
        <v>1767</v>
      </c>
      <c r="I87" s="7" t="s">
        <v>523</v>
      </c>
      <c r="J87" s="7" t="s">
        <v>556</v>
      </c>
      <c r="K87" s="7" t="s">
        <v>557</v>
      </c>
      <c r="L87" s="7"/>
      <c r="M87" s="7" t="s">
        <v>609</v>
      </c>
      <c r="N87" s="7" t="s">
        <v>601</v>
      </c>
      <c r="O87" s="7"/>
      <c r="P87" s="7"/>
    </row>
    <row r="88" customFormat="false" ht="68.65" hidden="false" customHeight="false" outlineLevel="0" collapsed="false">
      <c r="A88" s="7" t="s">
        <v>1768</v>
      </c>
      <c r="B88" s="7" t="s">
        <v>1769</v>
      </c>
      <c r="C88" s="7" t="s">
        <v>1349</v>
      </c>
      <c r="D88" s="7" t="s">
        <v>594</v>
      </c>
      <c r="E88" s="7" t="s">
        <v>1770</v>
      </c>
      <c r="F88" s="7" t="s">
        <v>1771</v>
      </c>
      <c r="G88" s="8" t="n">
        <v>0.5</v>
      </c>
      <c r="H88" s="7" t="s">
        <v>1772</v>
      </c>
      <c r="I88" s="7" t="s">
        <v>523</v>
      </c>
      <c r="J88" s="7" t="s">
        <v>1065</v>
      </c>
      <c r="K88" s="7"/>
      <c r="L88" s="7"/>
      <c r="M88" s="7" t="s">
        <v>1773</v>
      </c>
      <c r="N88" s="7" t="s">
        <v>601</v>
      </c>
      <c r="O88" s="7"/>
      <c r="P88" s="7"/>
    </row>
    <row r="89" customFormat="false" ht="79.85" hidden="false" customHeight="false" outlineLevel="0" collapsed="false">
      <c r="A89" s="7" t="s">
        <v>1774</v>
      </c>
      <c r="B89" s="7" t="s">
        <v>1775</v>
      </c>
      <c r="C89" s="7" t="s">
        <v>1349</v>
      </c>
      <c r="D89" s="7" t="s">
        <v>594</v>
      </c>
      <c r="E89" s="7" t="s">
        <v>1776</v>
      </c>
      <c r="F89" s="7" t="s">
        <v>1777</v>
      </c>
      <c r="G89" s="8" t="n">
        <v>0.7</v>
      </c>
      <c r="H89" s="7" t="s">
        <v>1778</v>
      </c>
      <c r="I89" s="7" t="s">
        <v>523</v>
      </c>
      <c r="J89" s="7" t="s">
        <v>556</v>
      </c>
      <c r="K89" s="7" t="s">
        <v>557</v>
      </c>
      <c r="L89" s="7"/>
      <c r="M89" s="7" t="s">
        <v>609</v>
      </c>
      <c r="N89" s="7" t="s">
        <v>601</v>
      </c>
      <c r="O89" s="7"/>
      <c r="P89" s="7"/>
    </row>
    <row r="90" customFormat="false" ht="79.85" hidden="false" customHeight="false" outlineLevel="0" collapsed="false">
      <c r="A90" s="7" t="s">
        <v>1779</v>
      </c>
      <c r="B90" s="7" t="s">
        <v>1780</v>
      </c>
      <c r="C90" s="7" t="s">
        <v>1349</v>
      </c>
      <c r="D90" s="7" t="s">
        <v>594</v>
      </c>
      <c r="E90" s="7" t="s">
        <v>1781</v>
      </c>
      <c r="F90" s="7" t="s">
        <v>1782</v>
      </c>
      <c r="G90" s="8" t="n">
        <v>0.2</v>
      </c>
      <c r="H90" s="7" t="s">
        <v>1783</v>
      </c>
      <c r="I90" s="7" t="s">
        <v>523</v>
      </c>
      <c r="J90" s="7" t="s">
        <v>628</v>
      </c>
      <c r="K90" s="7" t="s">
        <v>569</v>
      </c>
      <c r="L90" s="7"/>
      <c r="M90" s="7" t="s">
        <v>609</v>
      </c>
      <c r="N90" s="7" t="s">
        <v>601</v>
      </c>
      <c r="O90" s="7"/>
      <c r="P90" s="7"/>
    </row>
    <row r="91" customFormat="false" ht="79.85" hidden="false" customHeight="false" outlineLevel="0" collapsed="false">
      <c r="A91" s="7" t="s">
        <v>1784</v>
      </c>
      <c r="B91" s="7" t="s">
        <v>1785</v>
      </c>
      <c r="C91" s="7" t="s">
        <v>1349</v>
      </c>
      <c r="D91" s="7" t="s">
        <v>594</v>
      </c>
      <c r="E91" s="7" t="s">
        <v>1786</v>
      </c>
      <c r="F91" s="7" t="s">
        <v>1787</v>
      </c>
      <c r="G91" s="8" t="n">
        <v>0.5</v>
      </c>
      <c r="H91" s="7" t="s">
        <v>1788</v>
      </c>
      <c r="I91" s="7" t="s">
        <v>523</v>
      </c>
      <c r="J91" s="7" t="s">
        <v>628</v>
      </c>
      <c r="K91" s="7" t="s">
        <v>569</v>
      </c>
      <c r="L91" s="7"/>
      <c r="M91" s="7" t="s">
        <v>609</v>
      </c>
      <c r="N91" s="7" t="s">
        <v>601</v>
      </c>
      <c r="O91" s="7"/>
      <c r="P91" s="7"/>
    </row>
    <row r="92" customFormat="false" ht="91" hidden="false" customHeight="false" outlineLevel="0" collapsed="false">
      <c r="A92" s="7" t="s">
        <v>1789</v>
      </c>
      <c r="B92" s="7" t="s">
        <v>856</v>
      </c>
      <c r="C92" s="7" t="s">
        <v>1349</v>
      </c>
      <c r="D92" s="7" t="s">
        <v>594</v>
      </c>
      <c r="E92" s="7" t="s">
        <v>1790</v>
      </c>
      <c r="F92" s="7" t="s">
        <v>1791</v>
      </c>
      <c r="G92" s="8" t="n">
        <v>0.2</v>
      </c>
      <c r="H92" s="7" t="s">
        <v>1792</v>
      </c>
      <c r="I92" s="7" t="s">
        <v>523</v>
      </c>
      <c r="J92" s="7" t="s">
        <v>556</v>
      </c>
      <c r="K92" s="7" t="s">
        <v>557</v>
      </c>
      <c r="L92" s="7"/>
      <c r="M92" s="7" t="s">
        <v>1793</v>
      </c>
      <c r="N92" s="7" t="s">
        <v>601</v>
      </c>
      <c r="O92" s="7"/>
      <c r="P92" s="7"/>
    </row>
    <row r="93" customFormat="false" ht="68.65" hidden="false" customHeight="false" outlineLevel="0" collapsed="false">
      <c r="A93" s="7" t="s">
        <v>1794</v>
      </c>
      <c r="B93" s="7" t="s">
        <v>1795</v>
      </c>
      <c r="C93" s="7" t="s">
        <v>1349</v>
      </c>
      <c r="D93" s="7" t="s">
        <v>1184</v>
      </c>
      <c r="E93" s="7" t="s">
        <v>1796</v>
      </c>
      <c r="F93" s="7" t="s">
        <v>1797</v>
      </c>
      <c r="G93" s="8" t="n">
        <v>0.7</v>
      </c>
      <c r="H93" s="7" t="s">
        <v>1798</v>
      </c>
      <c r="I93" s="7" t="s">
        <v>627</v>
      </c>
      <c r="J93" s="7" t="s">
        <v>568</v>
      </c>
      <c r="K93" s="7" t="s">
        <v>569</v>
      </c>
      <c r="L93" s="7"/>
      <c r="M93" s="7" t="s">
        <v>1188</v>
      </c>
      <c r="N93" s="7" t="s">
        <v>1189</v>
      </c>
      <c r="O93" s="7"/>
      <c r="P93" s="7"/>
    </row>
    <row r="94" customFormat="false" ht="46.25" hidden="false" customHeight="false" outlineLevel="0" collapsed="false">
      <c r="A94" s="7" t="s">
        <v>1799</v>
      </c>
      <c r="B94" s="7" t="s">
        <v>892</v>
      </c>
      <c r="C94" s="7" t="s">
        <v>1349</v>
      </c>
      <c r="D94" s="7" t="s">
        <v>1184</v>
      </c>
      <c r="E94" s="7" t="s">
        <v>1800</v>
      </c>
      <c r="F94" s="7" t="s">
        <v>1801</v>
      </c>
      <c r="G94" s="8" t="n">
        <v>0.5</v>
      </c>
      <c r="H94" s="7" t="s">
        <v>1802</v>
      </c>
      <c r="I94" s="7" t="s">
        <v>250</v>
      </c>
      <c r="J94" s="7" t="s">
        <v>556</v>
      </c>
      <c r="K94" s="7" t="s">
        <v>557</v>
      </c>
      <c r="L94" s="7"/>
      <c r="M94" s="7" t="s">
        <v>1205</v>
      </c>
      <c r="N94" s="7" t="s">
        <v>1206</v>
      </c>
      <c r="O94" s="7"/>
      <c r="P94" s="7"/>
    </row>
    <row r="95" customFormat="false" ht="79.85" hidden="false" customHeight="false" outlineLevel="0" collapsed="false">
      <c r="A95" s="7" t="s">
        <v>1803</v>
      </c>
      <c r="B95" s="7" t="s">
        <v>1804</v>
      </c>
      <c r="C95" s="7" t="s">
        <v>1349</v>
      </c>
      <c r="D95" s="7" t="s">
        <v>1184</v>
      </c>
      <c r="E95" s="7" t="s">
        <v>1805</v>
      </c>
      <c r="F95" s="7" t="s">
        <v>1806</v>
      </c>
      <c r="G95" s="8" t="n">
        <v>0.5</v>
      </c>
      <c r="H95" s="7" t="s">
        <v>1807</v>
      </c>
      <c r="I95" s="7" t="s">
        <v>250</v>
      </c>
      <c r="J95" s="7" t="s">
        <v>556</v>
      </c>
      <c r="K95" s="7" t="s">
        <v>557</v>
      </c>
      <c r="L95" s="7"/>
      <c r="M95" s="7" t="s">
        <v>1205</v>
      </c>
      <c r="N95" s="7" t="s">
        <v>1206</v>
      </c>
      <c r="O95" s="7"/>
      <c r="P95" s="7"/>
    </row>
    <row r="96" customFormat="false" ht="91" hidden="false" customHeight="false" outlineLevel="0" collapsed="false">
      <c r="A96" s="7" t="s">
        <v>1808</v>
      </c>
      <c r="B96" s="7" t="s">
        <v>1809</v>
      </c>
      <c r="C96" s="7" t="s">
        <v>1349</v>
      </c>
      <c r="D96" s="7" t="s">
        <v>1184</v>
      </c>
      <c r="E96" s="7" t="s">
        <v>1810</v>
      </c>
      <c r="F96" s="7" t="s">
        <v>1811</v>
      </c>
      <c r="G96" s="8" t="n">
        <v>0.6</v>
      </c>
      <c r="H96" s="7" t="s">
        <v>1812</v>
      </c>
      <c r="I96" s="7" t="s">
        <v>598</v>
      </c>
      <c r="J96" s="7" t="s">
        <v>556</v>
      </c>
      <c r="K96" s="7" t="s">
        <v>557</v>
      </c>
      <c r="L96" s="7"/>
      <c r="M96" s="7" t="s">
        <v>1813</v>
      </c>
      <c r="N96" s="7" t="s">
        <v>1206</v>
      </c>
      <c r="O96" s="7"/>
      <c r="P96" s="7"/>
    </row>
    <row r="97" customFormat="false" ht="23.85" hidden="false" customHeight="false" outlineLevel="0" collapsed="false">
      <c r="A97" s="7" t="s">
        <v>1814</v>
      </c>
      <c r="B97" s="7" t="s">
        <v>1815</v>
      </c>
      <c r="C97" s="7" t="s">
        <v>1349</v>
      </c>
      <c r="D97" s="7" t="s">
        <v>1184</v>
      </c>
      <c r="E97" s="7" t="s">
        <v>1816</v>
      </c>
      <c r="F97" s="7" t="s">
        <v>1817</v>
      </c>
      <c r="G97" s="8" t="n">
        <v>0.6</v>
      </c>
      <c r="H97" s="7" t="s">
        <v>1818</v>
      </c>
      <c r="I97" s="7" t="s">
        <v>627</v>
      </c>
      <c r="J97" s="7" t="s">
        <v>556</v>
      </c>
      <c r="K97" s="7" t="s">
        <v>557</v>
      </c>
      <c r="L97" s="7"/>
      <c r="M97" s="7" t="s">
        <v>1205</v>
      </c>
      <c r="N97" s="7" t="s">
        <v>1206</v>
      </c>
      <c r="O97" s="7"/>
      <c r="P97" s="7"/>
    </row>
    <row r="98" customFormat="false" ht="68.65" hidden="false" customHeight="false" outlineLevel="0" collapsed="false">
      <c r="A98" s="7" t="s">
        <v>1819</v>
      </c>
      <c r="B98" s="7" t="s">
        <v>1820</v>
      </c>
      <c r="C98" s="7" t="s">
        <v>1349</v>
      </c>
      <c r="D98" s="7" t="s">
        <v>1184</v>
      </c>
      <c r="E98" s="7" t="s">
        <v>1821</v>
      </c>
      <c r="F98" s="7" t="s">
        <v>1822</v>
      </c>
      <c r="G98" s="8" t="n">
        <v>0.7</v>
      </c>
      <c r="H98" s="7" t="s">
        <v>1823</v>
      </c>
      <c r="I98" s="7" t="s">
        <v>250</v>
      </c>
      <c r="J98" s="7" t="s">
        <v>556</v>
      </c>
      <c r="K98" s="7" t="s">
        <v>557</v>
      </c>
      <c r="L98" s="7"/>
      <c r="M98" s="7" t="s">
        <v>1824</v>
      </c>
      <c r="N98" s="7" t="s">
        <v>1206</v>
      </c>
      <c r="O98" s="7"/>
      <c r="P98" s="7"/>
    </row>
    <row r="99" customFormat="false" ht="393.25" hidden="false" customHeight="false" outlineLevel="0" collapsed="false">
      <c r="A99" s="7" t="s">
        <v>1825</v>
      </c>
      <c r="B99" s="7" t="s">
        <v>1826</v>
      </c>
      <c r="C99" s="7" t="s">
        <v>1349</v>
      </c>
      <c r="D99" s="7" t="s">
        <v>1207</v>
      </c>
      <c r="E99" s="7" t="s">
        <v>1827</v>
      </c>
      <c r="F99" s="7" t="s">
        <v>1209</v>
      </c>
      <c r="G99" s="8" t="n">
        <v>0.2</v>
      </c>
      <c r="H99" s="7" t="s">
        <v>1828</v>
      </c>
      <c r="I99" s="7" t="s">
        <v>367</v>
      </c>
      <c r="J99" s="7" t="s">
        <v>568</v>
      </c>
      <c r="K99" s="7" t="s">
        <v>569</v>
      </c>
      <c r="L99" s="7"/>
      <c r="M99" s="7" t="s">
        <v>1211</v>
      </c>
      <c r="N99" s="7" t="s">
        <v>1142</v>
      </c>
      <c r="O99" s="7"/>
      <c r="P99" s="7"/>
    </row>
    <row r="100" customFormat="false" ht="393.25" hidden="false" customHeight="false" outlineLevel="0" collapsed="false">
      <c r="A100" s="7" t="s">
        <v>1829</v>
      </c>
      <c r="B100" s="7" t="s">
        <v>1830</v>
      </c>
      <c r="C100" s="7" t="s">
        <v>1349</v>
      </c>
      <c r="D100" s="7" t="s">
        <v>1207</v>
      </c>
      <c r="E100" s="7" t="s">
        <v>1831</v>
      </c>
      <c r="F100" s="7" t="s">
        <v>1209</v>
      </c>
      <c r="G100" s="8" t="n">
        <v>0.1</v>
      </c>
      <c r="H100" s="7" t="s">
        <v>1832</v>
      </c>
      <c r="I100" s="7" t="s">
        <v>367</v>
      </c>
      <c r="J100" s="7" t="s">
        <v>568</v>
      </c>
      <c r="K100" s="7" t="s">
        <v>569</v>
      </c>
      <c r="L100" s="7"/>
      <c r="M100" s="7" t="s">
        <v>1211</v>
      </c>
      <c r="N100" s="7" t="s">
        <v>1142</v>
      </c>
      <c r="O100" s="7"/>
      <c r="P100" s="7"/>
    </row>
    <row r="101" customFormat="false" ht="393.25" hidden="false" customHeight="false" outlineLevel="0" collapsed="false">
      <c r="A101" s="7" t="s">
        <v>1833</v>
      </c>
      <c r="B101" s="7" t="s">
        <v>1834</v>
      </c>
      <c r="C101" s="7" t="s">
        <v>1349</v>
      </c>
      <c r="D101" s="7" t="s">
        <v>1207</v>
      </c>
      <c r="E101" s="7" t="s">
        <v>1835</v>
      </c>
      <c r="F101" s="7" t="s">
        <v>1209</v>
      </c>
      <c r="G101" s="8" t="n">
        <v>0.3</v>
      </c>
      <c r="H101" s="7" t="s">
        <v>1836</v>
      </c>
      <c r="I101" s="7" t="s">
        <v>367</v>
      </c>
      <c r="J101" s="7" t="s">
        <v>568</v>
      </c>
      <c r="K101" s="7" t="s">
        <v>569</v>
      </c>
      <c r="L101" s="7"/>
      <c r="M101" s="7" t="s">
        <v>1211</v>
      </c>
      <c r="N101" s="7" t="s">
        <v>1142</v>
      </c>
      <c r="O101" s="7"/>
      <c r="P101" s="7"/>
    </row>
    <row r="102" customFormat="false" ht="393.25" hidden="false" customHeight="false" outlineLevel="0" collapsed="false">
      <c r="A102" s="7" t="s">
        <v>1837</v>
      </c>
      <c r="B102" s="7" t="s">
        <v>1838</v>
      </c>
      <c r="C102" s="7" t="s">
        <v>1349</v>
      </c>
      <c r="D102" s="7" t="s">
        <v>1207</v>
      </c>
      <c r="E102" s="7" t="s">
        <v>1839</v>
      </c>
      <c r="F102" s="7" t="s">
        <v>1209</v>
      </c>
      <c r="G102" s="8" t="n">
        <v>0.4</v>
      </c>
      <c r="H102" s="7" t="s">
        <v>1840</v>
      </c>
      <c r="I102" s="7" t="s">
        <v>367</v>
      </c>
      <c r="J102" s="7" t="s">
        <v>568</v>
      </c>
      <c r="K102" s="7" t="s">
        <v>569</v>
      </c>
      <c r="L102" s="7"/>
      <c r="M102" s="7" t="s">
        <v>1211</v>
      </c>
      <c r="N102" s="7" t="s">
        <v>1142</v>
      </c>
      <c r="O102" s="7"/>
      <c r="P102" s="7"/>
    </row>
    <row r="103" customFormat="false" ht="393.25" hidden="false" customHeight="false" outlineLevel="0" collapsed="false">
      <c r="A103" s="7" t="s">
        <v>1841</v>
      </c>
      <c r="B103" s="7" t="s">
        <v>1842</v>
      </c>
      <c r="C103" s="7" t="s">
        <v>1349</v>
      </c>
      <c r="D103" s="7" t="s">
        <v>1207</v>
      </c>
      <c r="E103" s="7" t="s">
        <v>1843</v>
      </c>
      <c r="F103" s="7" t="s">
        <v>1209</v>
      </c>
      <c r="G103" s="8" t="n">
        <v>0.4</v>
      </c>
      <c r="H103" s="7" t="s">
        <v>1844</v>
      </c>
      <c r="I103" s="7" t="s">
        <v>367</v>
      </c>
      <c r="J103" s="7" t="s">
        <v>568</v>
      </c>
      <c r="K103" s="7" t="s">
        <v>569</v>
      </c>
      <c r="L103" s="7"/>
      <c r="M103" s="7" t="s">
        <v>1211</v>
      </c>
      <c r="N103" s="7" t="s">
        <v>1142</v>
      </c>
      <c r="O103" s="7"/>
      <c r="P103" s="7"/>
    </row>
    <row r="104" customFormat="false" ht="393.25" hidden="false" customHeight="false" outlineLevel="0" collapsed="false">
      <c r="A104" s="7" t="s">
        <v>1845</v>
      </c>
      <c r="B104" s="7" t="s">
        <v>1846</v>
      </c>
      <c r="C104" s="7" t="s">
        <v>1349</v>
      </c>
      <c r="D104" s="7" t="s">
        <v>1207</v>
      </c>
      <c r="E104" s="7" t="s">
        <v>1847</v>
      </c>
      <c r="F104" s="7" t="s">
        <v>1209</v>
      </c>
      <c r="G104" s="8" t="n">
        <v>0.4</v>
      </c>
      <c r="H104" s="7" t="s">
        <v>1848</v>
      </c>
      <c r="I104" s="7" t="s">
        <v>367</v>
      </c>
      <c r="J104" s="7" t="s">
        <v>568</v>
      </c>
      <c r="K104" s="7" t="s">
        <v>569</v>
      </c>
      <c r="L104" s="7"/>
      <c r="M104" s="7" t="s">
        <v>1849</v>
      </c>
      <c r="N104" s="7" t="s">
        <v>1142</v>
      </c>
      <c r="O104" s="7"/>
      <c r="P104" s="7"/>
    </row>
    <row r="105" customFormat="false" ht="393.25" hidden="false" customHeight="false" outlineLevel="0" collapsed="false">
      <c r="A105" s="7" t="s">
        <v>1850</v>
      </c>
      <c r="B105" s="7" t="s">
        <v>1851</v>
      </c>
      <c r="C105" s="7" t="s">
        <v>1349</v>
      </c>
      <c r="D105" s="7" t="s">
        <v>1207</v>
      </c>
      <c r="E105" s="7" t="s">
        <v>1852</v>
      </c>
      <c r="F105" s="7" t="s">
        <v>1209</v>
      </c>
      <c r="G105" s="8" t="n">
        <v>0.4</v>
      </c>
      <c r="H105" s="7" t="s">
        <v>1853</v>
      </c>
      <c r="I105" s="7" t="s">
        <v>367</v>
      </c>
      <c r="J105" s="7" t="s">
        <v>568</v>
      </c>
      <c r="K105" s="7" t="s">
        <v>569</v>
      </c>
      <c r="L105" s="7"/>
      <c r="M105" s="7" t="s">
        <v>1849</v>
      </c>
      <c r="N105" s="7" t="s">
        <v>1142</v>
      </c>
      <c r="O105" s="7"/>
      <c r="P105" s="7"/>
    </row>
    <row r="106" customFormat="false" ht="393.25" hidden="false" customHeight="false" outlineLevel="0" collapsed="false">
      <c r="A106" s="7" t="s">
        <v>1854</v>
      </c>
      <c r="B106" s="7" t="s">
        <v>1855</v>
      </c>
      <c r="C106" s="7" t="s">
        <v>1349</v>
      </c>
      <c r="D106" s="7" t="s">
        <v>1207</v>
      </c>
      <c r="E106" s="7" t="s">
        <v>1856</v>
      </c>
      <c r="F106" s="7" t="s">
        <v>1209</v>
      </c>
      <c r="G106" s="8" t="n">
        <v>0.3</v>
      </c>
      <c r="H106" s="7" t="s">
        <v>1857</v>
      </c>
      <c r="I106" s="7" t="s">
        <v>367</v>
      </c>
      <c r="J106" s="7" t="s">
        <v>568</v>
      </c>
      <c r="K106" s="7" t="s">
        <v>569</v>
      </c>
      <c r="L106" s="7"/>
      <c r="M106" s="7" t="s">
        <v>1211</v>
      </c>
      <c r="N106" s="7" t="s">
        <v>1142</v>
      </c>
      <c r="O106" s="7"/>
      <c r="P106" s="7"/>
    </row>
    <row r="107" customFormat="false" ht="393.25" hidden="false" customHeight="false" outlineLevel="0" collapsed="false">
      <c r="A107" s="7" t="s">
        <v>1858</v>
      </c>
      <c r="B107" s="7" t="s">
        <v>1859</v>
      </c>
      <c r="C107" s="7" t="s">
        <v>1349</v>
      </c>
      <c r="D107" s="7" t="s">
        <v>1207</v>
      </c>
      <c r="E107" s="7" t="s">
        <v>1860</v>
      </c>
      <c r="F107" s="7" t="s">
        <v>1209</v>
      </c>
      <c r="G107" s="8" t="n">
        <v>0.1</v>
      </c>
      <c r="H107" s="7" t="s">
        <v>1861</v>
      </c>
      <c r="I107" s="7" t="s">
        <v>367</v>
      </c>
      <c r="J107" s="7" t="s">
        <v>568</v>
      </c>
      <c r="K107" s="7" t="s">
        <v>569</v>
      </c>
      <c r="L107" s="7"/>
      <c r="M107" s="7" t="s">
        <v>1211</v>
      </c>
      <c r="N107" s="7" t="s">
        <v>1142</v>
      </c>
      <c r="O107" s="7"/>
      <c r="P107" s="7"/>
    </row>
    <row r="108" customFormat="false" ht="35.05" hidden="false" customHeight="false" outlineLevel="0" collapsed="false">
      <c r="A108" s="7" t="s">
        <v>1862</v>
      </c>
      <c r="B108" s="7" t="s">
        <v>900</v>
      </c>
      <c r="C108" s="7" t="s">
        <v>1349</v>
      </c>
      <c r="D108" s="7" t="s">
        <v>1207</v>
      </c>
      <c r="E108" s="7" t="s">
        <v>1863</v>
      </c>
      <c r="F108" s="7" t="s">
        <v>1864</v>
      </c>
      <c r="G108" s="8" t="n">
        <v>0.3</v>
      </c>
      <c r="H108" s="7" t="s">
        <v>1865</v>
      </c>
      <c r="I108" s="7" t="s">
        <v>367</v>
      </c>
      <c r="J108" s="7" t="s">
        <v>568</v>
      </c>
      <c r="K108" s="7" t="s">
        <v>569</v>
      </c>
      <c r="L108" s="7"/>
      <c r="M108" s="7" t="s">
        <v>1866</v>
      </c>
      <c r="N108" s="7" t="s">
        <v>1142</v>
      </c>
      <c r="O108" s="7"/>
      <c r="P108" s="7"/>
    </row>
    <row r="109" customFormat="false" ht="35.05" hidden="false" customHeight="false" outlineLevel="0" collapsed="false">
      <c r="A109" s="7" t="s">
        <v>1867</v>
      </c>
      <c r="B109" s="7" t="s">
        <v>1868</v>
      </c>
      <c r="C109" s="7" t="s">
        <v>1349</v>
      </c>
      <c r="D109" s="7" t="s">
        <v>1207</v>
      </c>
      <c r="E109" s="7" t="s">
        <v>1869</v>
      </c>
      <c r="F109" s="7" t="s">
        <v>1870</v>
      </c>
      <c r="G109" s="8" t="n">
        <v>0.3</v>
      </c>
      <c r="H109" s="7" t="s">
        <v>1871</v>
      </c>
      <c r="I109" s="7" t="s">
        <v>367</v>
      </c>
      <c r="J109" s="7" t="s">
        <v>568</v>
      </c>
      <c r="K109" s="7" t="s">
        <v>569</v>
      </c>
      <c r="L109" s="7"/>
      <c r="M109" s="7" t="s">
        <v>1866</v>
      </c>
      <c r="N109" s="7" t="s">
        <v>1142</v>
      </c>
      <c r="O109" s="7"/>
      <c r="P109" s="7"/>
    </row>
    <row r="110" customFormat="false" ht="46.25" hidden="false" customHeight="false" outlineLevel="0" collapsed="false">
      <c r="A110" s="7" t="s">
        <v>1872</v>
      </c>
      <c r="B110" s="7" t="s">
        <v>1873</v>
      </c>
      <c r="C110" s="7" t="s">
        <v>1349</v>
      </c>
      <c r="D110" s="7" t="s">
        <v>1207</v>
      </c>
      <c r="E110" s="7" t="s">
        <v>1874</v>
      </c>
      <c r="F110" s="7" t="s">
        <v>1875</v>
      </c>
      <c r="G110" s="8" t="n">
        <v>0.3</v>
      </c>
      <c r="H110" s="7" t="s">
        <v>1876</v>
      </c>
      <c r="I110" s="7" t="s">
        <v>367</v>
      </c>
      <c r="J110" s="7" t="s">
        <v>568</v>
      </c>
      <c r="K110" s="7" t="s">
        <v>569</v>
      </c>
      <c r="L110" s="7"/>
      <c r="M110" s="7" t="s">
        <v>1243</v>
      </c>
      <c r="N110" s="7" t="s">
        <v>1142</v>
      </c>
      <c r="O110" s="7"/>
      <c r="P110" s="7"/>
    </row>
    <row r="111" customFormat="false" ht="46.25" hidden="false" customHeight="false" outlineLevel="0" collapsed="false">
      <c r="A111" s="7" t="s">
        <v>1877</v>
      </c>
      <c r="B111" s="7" t="s">
        <v>1878</v>
      </c>
      <c r="C111" s="7" t="s">
        <v>1349</v>
      </c>
      <c r="D111" s="7" t="s">
        <v>1207</v>
      </c>
      <c r="E111" s="7" t="s">
        <v>1879</v>
      </c>
      <c r="F111" s="7" t="s">
        <v>1880</v>
      </c>
      <c r="G111" s="8" t="n">
        <v>0.3</v>
      </c>
      <c r="H111" s="7" t="s">
        <v>1881</v>
      </c>
      <c r="I111" s="7" t="s">
        <v>367</v>
      </c>
      <c r="J111" s="7" t="s">
        <v>556</v>
      </c>
      <c r="K111" s="7" t="s">
        <v>557</v>
      </c>
      <c r="L111" s="7"/>
      <c r="M111" s="7" t="s">
        <v>1211</v>
      </c>
      <c r="N111" s="7" t="s">
        <v>1142</v>
      </c>
      <c r="O111" s="7"/>
      <c r="P111" s="7"/>
    </row>
    <row r="112" customFormat="false" ht="124.6" hidden="false" customHeight="false" outlineLevel="0" collapsed="false">
      <c r="A112" s="7" t="s">
        <v>1882</v>
      </c>
      <c r="B112" s="7" t="s">
        <v>909</v>
      </c>
      <c r="C112" s="7" t="s">
        <v>1349</v>
      </c>
      <c r="D112" s="7" t="s">
        <v>1207</v>
      </c>
      <c r="E112" s="7" t="s">
        <v>1883</v>
      </c>
      <c r="F112" s="7" t="s">
        <v>1233</v>
      </c>
      <c r="G112" s="8" t="n">
        <v>0.2</v>
      </c>
      <c r="H112" s="7" t="s">
        <v>1884</v>
      </c>
      <c r="I112" s="7" t="s">
        <v>250</v>
      </c>
      <c r="J112" s="7" t="s">
        <v>568</v>
      </c>
      <c r="K112" s="7" t="s">
        <v>569</v>
      </c>
      <c r="L112" s="7"/>
      <c r="M112" s="7" t="s">
        <v>1228</v>
      </c>
      <c r="N112" s="7" t="s">
        <v>1229</v>
      </c>
      <c r="O112" s="7"/>
      <c r="P112" s="7"/>
    </row>
    <row r="113" customFormat="false" ht="135.8" hidden="false" customHeight="false" outlineLevel="0" collapsed="false">
      <c r="A113" s="7" t="s">
        <v>1885</v>
      </c>
      <c r="B113" s="7" t="s">
        <v>1886</v>
      </c>
      <c r="C113" s="7" t="s">
        <v>1349</v>
      </c>
      <c r="D113" s="7" t="s">
        <v>1207</v>
      </c>
      <c r="E113" s="7" t="s">
        <v>1887</v>
      </c>
      <c r="F113" s="7" t="s">
        <v>1241</v>
      </c>
      <c r="G113" s="8" t="n">
        <v>0.3</v>
      </c>
      <c r="H113" s="7" t="s">
        <v>1888</v>
      </c>
      <c r="I113" s="7" t="s">
        <v>367</v>
      </c>
      <c r="J113" s="7" t="s">
        <v>568</v>
      </c>
      <c r="K113" s="7" t="s">
        <v>569</v>
      </c>
      <c r="L113" s="7"/>
      <c r="M113" s="7" t="s">
        <v>1243</v>
      </c>
      <c r="N113" s="7" t="s">
        <v>1244</v>
      </c>
      <c r="O113" s="7"/>
      <c r="P113" s="7"/>
    </row>
    <row r="114" customFormat="false" ht="135.8" hidden="false" customHeight="false" outlineLevel="0" collapsed="false">
      <c r="A114" s="7" t="s">
        <v>1889</v>
      </c>
      <c r="B114" s="7" t="s">
        <v>1890</v>
      </c>
      <c r="C114" s="7" t="s">
        <v>1349</v>
      </c>
      <c r="D114" s="7" t="s">
        <v>1207</v>
      </c>
      <c r="E114" s="7" t="s">
        <v>1891</v>
      </c>
      <c r="F114" s="7" t="s">
        <v>1241</v>
      </c>
      <c r="G114" s="8" t="n">
        <v>0.4</v>
      </c>
      <c r="H114" s="7" t="s">
        <v>1892</v>
      </c>
      <c r="I114" s="7" t="s">
        <v>367</v>
      </c>
      <c r="J114" s="7" t="s">
        <v>568</v>
      </c>
      <c r="K114" s="7" t="s">
        <v>569</v>
      </c>
      <c r="L114" s="7"/>
      <c r="M114" s="7" t="s">
        <v>1893</v>
      </c>
      <c r="N114" s="7" t="s">
        <v>1244</v>
      </c>
      <c r="O114" s="7"/>
      <c r="P114" s="7"/>
    </row>
    <row r="115" customFormat="false" ht="135.8" hidden="false" customHeight="false" outlineLevel="0" collapsed="false">
      <c r="A115" s="7" t="s">
        <v>1894</v>
      </c>
      <c r="B115" s="7" t="s">
        <v>1895</v>
      </c>
      <c r="C115" s="7" t="s">
        <v>1349</v>
      </c>
      <c r="D115" s="7" t="s">
        <v>1207</v>
      </c>
      <c r="E115" s="7" t="s">
        <v>1896</v>
      </c>
      <c r="F115" s="7" t="s">
        <v>1241</v>
      </c>
      <c r="G115" s="8" t="n">
        <v>0.3</v>
      </c>
      <c r="H115" s="7" t="s">
        <v>1897</v>
      </c>
      <c r="I115" s="7" t="s">
        <v>367</v>
      </c>
      <c r="J115" s="7" t="s">
        <v>568</v>
      </c>
      <c r="K115" s="7" t="s">
        <v>569</v>
      </c>
      <c r="L115" s="7"/>
      <c r="M115" s="7" t="s">
        <v>1150</v>
      </c>
      <c r="N115" s="7" t="s">
        <v>1244</v>
      </c>
      <c r="O115" s="7"/>
      <c r="P115" s="7"/>
    </row>
    <row r="116" customFormat="false" ht="169.4" hidden="false" customHeight="false" outlineLevel="0" collapsed="false">
      <c r="A116" s="7" t="s">
        <v>1898</v>
      </c>
      <c r="B116" s="7" t="s">
        <v>948</v>
      </c>
      <c r="C116" s="7" t="s">
        <v>1349</v>
      </c>
      <c r="D116" s="7" t="s">
        <v>613</v>
      </c>
      <c r="E116" s="7" t="s">
        <v>1899</v>
      </c>
      <c r="F116" s="7" t="s">
        <v>1254</v>
      </c>
      <c r="G116" s="8" t="n">
        <v>0.4</v>
      </c>
      <c r="H116" s="7" t="s">
        <v>1900</v>
      </c>
      <c r="I116" s="7" t="s">
        <v>523</v>
      </c>
      <c r="J116" s="7" t="s">
        <v>568</v>
      </c>
      <c r="K116" s="7" t="s">
        <v>569</v>
      </c>
      <c r="L116" s="7"/>
      <c r="M116" s="7" t="s">
        <v>618</v>
      </c>
      <c r="N116" s="7" t="s">
        <v>619</v>
      </c>
      <c r="O116" s="7"/>
      <c r="P116" s="7"/>
    </row>
    <row r="117" customFormat="false" ht="169.4" hidden="false" customHeight="false" outlineLevel="0" collapsed="false">
      <c r="A117" s="7" t="s">
        <v>1901</v>
      </c>
      <c r="B117" s="7" t="s">
        <v>952</v>
      </c>
      <c r="C117" s="7" t="s">
        <v>1349</v>
      </c>
      <c r="D117" s="7" t="s">
        <v>613</v>
      </c>
      <c r="E117" s="7" t="s">
        <v>1902</v>
      </c>
      <c r="F117" s="7" t="s">
        <v>1254</v>
      </c>
      <c r="G117" s="8" t="n">
        <v>0.1</v>
      </c>
      <c r="H117" s="7" t="s">
        <v>1903</v>
      </c>
      <c r="I117" s="7" t="s">
        <v>523</v>
      </c>
      <c r="J117" s="7" t="s">
        <v>568</v>
      </c>
      <c r="K117" s="7" t="s">
        <v>569</v>
      </c>
      <c r="L117" s="7"/>
      <c r="M117" s="7" t="s">
        <v>618</v>
      </c>
      <c r="N117" s="7" t="s">
        <v>619</v>
      </c>
      <c r="O117" s="7"/>
      <c r="P117" s="7"/>
    </row>
    <row r="118" customFormat="false" ht="169.4" hidden="false" customHeight="false" outlineLevel="0" collapsed="false">
      <c r="A118" s="7" t="s">
        <v>1904</v>
      </c>
      <c r="B118" s="7" t="s">
        <v>956</v>
      </c>
      <c r="C118" s="7" t="s">
        <v>1349</v>
      </c>
      <c r="D118" s="7" t="s">
        <v>613</v>
      </c>
      <c r="E118" s="7" t="s">
        <v>1905</v>
      </c>
      <c r="F118" s="7" t="s">
        <v>1254</v>
      </c>
      <c r="G118" s="8" t="n">
        <v>0.1</v>
      </c>
      <c r="H118" s="7" t="s">
        <v>1906</v>
      </c>
      <c r="I118" s="7" t="s">
        <v>523</v>
      </c>
      <c r="J118" s="7" t="s">
        <v>568</v>
      </c>
      <c r="K118" s="7" t="s">
        <v>569</v>
      </c>
      <c r="L118" s="7"/>
      <c r="M118" s="7" t="s">
        <v>618</v>
      </c>
      <c r="N118" s="7" t="s">
        <v>619</v>
      </c>
      <c r="O118" s="7"/>
      <c r="P118" s="7"/>
    </row>
    <row r="119" customFormat="false" ht="35.05" hidden="false" customHeight="false" outlineLevel="0" collapsed="false">
      <c r="A119" s="7" t="s">
        <v>1907</v>
      </c>
      <c r="B119" s="7" t="s">
        <v>1908</v>
      </c>
      <c r="C119" s="7" t="s">
        <v>1349</v>
      </c>
      <c r="D119" s="7" t="s">
        <v>613</v>
      </c>
      <c r="E119" s="7" t="s">
        <v>1909</v>
      </c>
      <c r="F119" s="7" t="s">
        <v>1262</v>
      </c>
      <c r="G119" s="8" t="n">
        <v>0.3</v>
      </c>
      <c r="H119" s="7" t="s">
        <v>1910</v>
      </c>
      <c r="I119" s="7" t="s">
        <v>627</v>
      </c>
      <c r="J119" s="7" t="s">
        <v>1065</v>
      </c>
      <c r="K119" s="7"/>
      <c r="L119" s="7"/>
      <c r="M119" s="7" t="s">
        <v>618</v>
      </c>
      <c r="N119" s="7" t="s">
        <v>619</v>
      </c>
      <c r="O119" s="7"/>
      <c r="P119" s="7"/>
    </row>
    <row r="120" customFormat="false" ht="46.25" hidden="false" customHeight="false" outlineLevel="0" collapsed="false">
      <c r="A120" s="7" t="s">
        <v>1911</v>
      </c>
      <c r="B120" s="7" t="s">
        <v>1912</v>
      </c>
      <c r="C120" s="7" t="s">
        <v>1349</v>
      </c>
      <c r="D120" s="7" t="s">
        <v>613</v>
      </c>
      <c r="E120" s="7" t="s">
        <v>1913</v>
      </c>
      <c r="F120" s="7" t="s">
        <v>1914</v>
      </c>
      <c r="G120" s="8" t="n">
        <v>0.5</v>
      </c>
      <c r="H120" s="7" t="s">
        <v>1915</v>
      </c>
      <c r="I120" s="7" t="s">
        <v>250</v>
      </c>
      <c r="J120" s="7" t="s">
        <v>568</v>
      </c>
      <c r="K120" s="7" t="s">
        <v>569</v>
      </c>
      <c r="L120" s="7"/>
      <c r="M120" s="7" t="s">
        <v>1267</v>
      </c>
      <c r="N120" s="7" t="s">
        <v>619</v>
      </c>
      <c r="O120" s="7"/>
      <c r="P120" s="7"/>
    </row>
    <row r="121" customFormat="false" ht="35.05" hidden="false" customHeight="false" outlineLevel="0" collapsed="false">
      <c r="A121" s="7" t="s">
        <v>1916</v>
      </c>
      <c r="B121" s="7" t="s">
        <v>1917</v>
      </c>
      <c r="C121" s="7" t="s">
        <v>1349</v>
      </c>
      <c r="D121" s="7" t="s">
        <v>613</v>
      </c>
      <c r="E121" s="7" t="s">
        <v>1918</v>
      </c>
      <c r="F121" s="7" t="s">
        <v>1914</v>
      </c>
      <c r="G121" s="8" t="n">
        <v>0.2</v>
      </c>
      <c r="H121" s="7" t="s">
        <v>1919</v>
      </c>
      <c r="I121" s="7" t="s">
        <v>347</v>
      </c>
      <c r="J121" s="7" t="s">
        <v>568</v>
      </c>
      <c r="K121" s="7" t="s">
        <v>569</v>
      </c>
      <c r="L121" s="7"/>
      <c r="M121" s="7" t="s">
        <v>1920</v>
      </c>
      <c r="N121" s="7" t="s">
        <v>619</v>
      </c>
      <c r="O121" s="7"/>
      <c r="P121" s="7"/>
    </row>
    <row r="122" customFormat="false" ht="35.05" hidden="false" customHeight="false" outlineLevel="0" collapsed="false">
      <c r="A122" s="7" t="s">
        <v>1921</v>
      </c>
      <c r="B122" s="7" t="s">
        <v>1922</v>
      </c>
      <c r="C122" s="7" t="s">
        <v>1349</v>
      </c>
      <c r="D122" s="7" t="s">
        <v>613</v>
      </c>
      <c r="E122" s="7" t="s">
        <v>1923</v>
      </c>
      <c r="F122" s="7" t="s">
        <v>1914</v>
      </c>
      <c r="G122" s="8" t="n">
        <v>0.4</v>
      </c>
      <c r="H122" s="7" t="s">
        <v>1924</v>
      </c>
      <c r="I122" s="7" t="s">
        <v>347</v>
      </c>
      <c r="J122" s="7" t="s">
        <v>568</v>
      </c>
      <c r="K122" s="7" t="s">
        <v>569</v>
      </c>
      <c r="L122" s="7"/>
      <c r="M122" s="7" t="s">
        <v>1267</v>
      </c>
      <c r="N122" s="7" t="s">
        <v>619</v>
      </c>
      <c r="O122" s="7"/>
      <c r="P122" s="7"/>
    </row>
    <row r="123" customFormat="false" ht="35.05" hidden="false" customHeight="false" outlineLevel="0" collapsed="false">
      <c r="A123" s="7" t="s">
        <v>1925</v>
      </c>
      <c r="B123" s="7" t="s">
        <v>1926</v>
      </c>
      <c r="C123" s="7" t="s">
        <v>1349</v>
      </c>
      <c r="D123" s="7" t="s">
        <v>613</v>
      </c>
      <c r="E123" s="7" t="s">
        <v>1927</v>
      </c>
      <c r="F123" s="7" t="s">
        <v>1914</v>
      </c>
      <c r="G123" s="8" t="n">
        <v>0.2</v>
      </c>
      <c r="H123" s="7" t="s">
        <v>1928</v>
      </c>
      <c r="I123" s="7" t="s">
        <v>347</v>
      </c>
      <c r="J123" s="7" t="s">
        <v>568</v>
      </c>
      <c r="K123" s="7" t="s">
        <v>569</v>
      </c>
      <c r="L123" s="7"/>
      <c r="M123" s="7" t="s">
        <v>1267</v>
      </c>
      <c r="N123" s="7" t="s">
        <v>619</v>
      </c>
      <c r="O123" s="7"/>
      <c r="P123" s="7"/>
    </row>
    <row r="124" customFormat="false" ht="113.4" hidden="false" customHeight="false" outlineLevel="0" collapsed="false">
      <c r="A124" s="7" t="s">
        <v>1929</v>
      </c>
      <c r="B124" s="7" t="s">
        <v>1930</v>
      </c>
      <c r="C124" s="7" t="s">
        <v>1349</v>
      </c>
      <c r="D124" s="7" t="s">
        <v>613</v>
      </c>
      <c r="E124" s="7" t="s">
        <v>1931</v>
      </c>
      <c r="F124" s="7" t="s">
        <v>1932</v>
      </c>
      <c r="G124" s="8" t="n">
        <v>0.1</v>
      </c>
      <c r="H124" s="7" t="s">
        <v>1933</v>
      </c>
      <c r="I124" s="7" t="s">
        <v>598</v>
      </c>
      <c r="J124" s="7" t="s">
        <v>568</v>
      </c>
      <c r="K124" s="7" t="s">
        <v>569</v>
      </c>
      <c r="L124" s="7"/>
      <c r="M124" s="7" t="s">
        <v>1934</v>
      </c>
      <c r="N124" s="7" t="s">
        <v>619</v>
      </c>
      <c r="O124" s="7"/>
      <c r="P124" s="7"/>
    </row>
    <row r="125" customFormat="false" ht="113.4" hidden="false" customHeight="false" outlineLevel="0" collapsed="false">
      <c r="A125" s="7" t="s">
        <v>1935</v>
      </c>
      <c r="B125" s="7" t="s">
        <v>1936</v>
      </c>
      <c r="C125" s="7" t="s">
        <v>1349</v>
      </c>
      <c r="D125" s="7" t="s">
        <v>613</v>
      </c>
      <c r="E125" s="7" t="s">
        <v>1937</v>
      </c>
      <c r="F125" s="7" t="s">
        <v>1932</v>
      </c>
      <c r="G125" s="8" t="n">
        <v>0.1</v>
      </c>
      <c r="H125" s="7" t="s">
        <v>1938</v>
      </c>
      <c r="I125" s="7" t="s">
        <v>598</v>
      </c>
      <c r="J125" s="7" t="s">
        <v>568</v>
      </c>
      <c r="K125" s="7" t="s">
        <v>569</v>
      </c>
      <c r="L125" s="7"/>
      <c r="M125" s="7" t="s">
        <v>1370</v>
      </c>
      <c r="N125" s="7" t="s">
        <v>619</v>
      </c>
      <c r="O125" s="7"/>
      <c r="P125" s="7"/>
    </row>
    <row r="126" customFormat="false" ht="113.4" hidden="false" customHeight="false" outlineLevel="0" collapsed="false">
      <c r="A126" s="7" t="s">
        <v>1939</v>
      </c>
      <c r="B126" s="7" t="s">
        <v>1940</v>
      </c>
      <c r="C126" s="7" t="s">
        <v>1349</v>
      </c>
      <c r="D126" s="7" t="s">
        <v>613</v>
      </c>
      <c r="E126" s="7" t="s">
        <v>1941</v>
      </c>
      <c r="F126" s="7" t="s">
        <v>1932</v>
      </c>
      <c r="G126" s="8" t="n">
        <v>0.1</v>
      </c>
      <c r="H126" s="7" t="s">
        <v>1942</v>
      </c>
      <c r="I126" s="7" t="s">
        <v>598</v>
      </c>
      <c r="J126" s="7" t="s">
        <v>568</v>
      </c>
      <c r="K126" s="7" t="s">
        <v>569</v>
      </c>
      <c r="L126" s="7"/>
      <c r="M126" s="7" t="s">
        <v>1934</v>
      </c>
      <c r="N126" s="7" t="s">
        <v>619</v>
      </c>
      <c r="O126" s="7"/>
      <c r="P126" s="7"/>
    </row>
    <row r="127" customFormat="false" ht="35.05" hidden="false" customHeight="false" outlineLevel="0" collapsed="false">
      <c r="A127" s="7" t="s">
        <v>1943</v>
      </c>
      <c r="B127" s="7" t="s">
        <v>1944</v>
      </c>
      <c r="C127" s="7" t="s">
        <v>1349</v>
      </c>
      <c r="D127" s="7" t="s">
        <v>613</v>
      </c>
      <c r="E127" s="7" t="s">
        <v>1945</v>
      </c>
      <c r="F127" s="7" t="s">
        <v>1269</v>
      </c>
      <c r="G127" s="8" t="n">
        <v>0.1</v>
      </c>
      <c r="H127" s="7" t="s">
        <v>1946</v>
      </c>
      <c r="I127" s="7" t="s">
        <v>627</v>
      </c>
      <c r="J127" s="7" t="s">
        <v>556</v>
      </c>
      <c r="K127" s="7" t="s">
        <v>1271</v>
      </c>
      <c r="L127" s="7"/>
      <c r="M127" s="7" t="s">
        <v>1267</v>
      </c>
      <c r="N127" s="7" t="s">
        <v>619</v>
      </c>
      <c r="O127" s="7"/>
      <c r="P127" s="7"/>
    </row>
    <row r="128" customFormat="false" ht="35.05" hidden="false" customHeight="false" outlineLevel="0" collapsed="false">
      <c r="A128" s="7" t="s">
        <v>1947</v>
      </c>
      <c r="B128" s="7" t="s">
        <v>1948</v>
      </c>
      <c r="C128" s="7" t="s">
        <v>1349</v>
      </c>
      <c r="D128" s="7" t="s">
        <v>613</v>
      </c>
      <c r="E128" s="7" t="s">
        <v>1949</v>
      </c>
      <c r="F128" s="7" t="s">
        <v>1269</v>
      </c>
      <c r="G128" s="8" t="n">
        <v>0.1</v>
      </c>
      <c r="H128" s="7" t="s">
        <v>1950</v>
      </c>
      <c r="I128" s="7" t="s">
        <v>627</v>
      </c>
      <c r="J128" s="7" t="s">
        <v>556</v>
      </c>
      <c r="K128" s="7" t="s">
        <v>1271</v>
      </c>
      <c r="L128" s="7"/>
      <c r="M128" s="7" t="s">
        <v>1267</v>
      </c>
      <c r="N128" s="7" t="s">
        <v>619</v>
      </c>
      <c r="O128" s="7"/>
      <c r="P128" s="7"/>
    </row>
    <row r="129" customFormat="false" ht="214.15" hidden="false" customHeight="false" outlineLevel="0" collapsed="false">
      <c r="A129" s="7" t="s">
        <v>1951</v>
      </c>
      <c r="B129" s="7" t="s">
        <v>1952</v>
      </c>
      <c r="C129" s="7" t="s">
        <v>1349</v>
      </c>
      <c r="D129" s="7" t="s">
        <v>613</v>
      </c>
      <c r="E129" s="7" t="s">
        <v>1953</v>
      </c>
      <c r="F129" s="7" t="s">
        <v>1273</v>
      </c>
      <c r="G129" s="8" t="n">
        <v>0.3</v>
      </c>
      <c r="H129" s="7" t="s">
        <v>1954</v>
      </c>
      <c r="I129" s="7" t="s">
        <v>367</v>
      </c>
      <c r="J129" s="7" t="s">
        <v>568</v>
      </c>
      <c r="K129" s="7" t="s">
        <v>569</v>
      </c>
      <c r="L129" s="7"/>
      <c r="M129" s="7" t="s">
        <v>1955</v>
      </c>
      <c r="N129" s="7" t="s">
        <v>1956</v>
      </c>
      <c r="O129" s="7"/>
      <c r="P129" s="7"/>
    </row>
    <row r="130" customFormat="false" ht="214.15" hidden="false" customHeight="false" outlineLevel="0" collapsed="false">
      <c r="A130" s="7" t="s">
        <v>1957</v>
      </c>
      <c r="B130" s="7" t="s">
        <v>1958</v>
      </c>
      <c r="C130" s="7" t="s">
        <v>1349</v>
      </c>
      <c r="D130" s="7" t="s">
        <v>613</v>
      </c>
      <c r="E130" s="7" t="s">
        <v>1959</v>
      </c>
      <c r="F130" s="7" t="s">
        <v>1273</v>
      </c>
      <c r="G130" s="8" t="n">
        <v>0.4</v>
      </c>
      <c r="H130" s="7" t="s">
        <v>1960</v>
      </c>
      <c r="I130" s="7" t="s">
        <v>367</v>
      </c>
      <c r="J130" s="7" t="s">
        <v>568</v>
      </c>
      <c r="K130" s="7" t="s">
        <v>569</v>
      </c>
      <c r="L130" s="7"/>
      <c r="M130" s="7" t="s">
        <v>1267</v>
      </c>
      <c r="N130" s="7" t="s">
        <v>1956</v>
      </c>
      <c r="O130" s="7"/>
      <c r="P130" s="7"/>
    </row>
    <row r="131" customFormat="false" ht="214.15" hidden="false" customHeight="false" outlineLevel="0" collapsed="false">
      <c r="A131" s="7" t="s">
        <v>1961</v>
      </c>
      <c r="B131" s="7" t="s">
        <v>1962</v>
      </c>
      <c r="C131" s="7" t="s">
        <v>1349</v>
      </c>
      <c r="D131" s="7" t="s">
        <v>613</v>
      </c>
      <c r="E131" s="7" t="s">
        <v>1963</v>
      </c>
      <c r="F131" s="7" t="s">
        <v>1273</v>
      </c>
      <c r="G131" s="8" t="n">
        <v>0.3</v>
      </c>
      <c r="H131" s="7" t="s">
        <v>1964</v>
      </c>
      <c r="I131" s="7" t="s">
        <v>367</v>
      </c>
      <c r="J131" s="7" t="s">
        <v>568</v>
      </c>
      <c r="K131" s="7" t="s">
        <v>569</v>
      </c>
      <c r="L131" s="7"/>
      <c r="M131" s="7" t="s">
        <v>1920</v>
      </c>
      <c r="N131" s="7" t="s">
        <v>1276</v>
      </c>
      <c r="O131" s="7"/>
      <c r="P131" s="7"/>
    </row>
    <row r="132" customFormat="false" ht="214.15" hidden="false" customHeight="false" outlineLevel="0" collapsed="false">
      <c r="A132" s="7" t="s">
        <v>1965</v>
      </c>
      <c r="B132" s="7" t="s">
        <v>1966</v>
      </c>
      <c r="C132" s="7" t="s">
        <v>1349</v>
      </c>
      <c r="D132" s="7" t="s">
        <v>613</v>
      </c>
      <c r="E132" s="7" t="s">
        <v>1967</v>
      </c>
      <c r="F132" s="7" t="s">
        <v>1273</v>
      </c>
      <c r="G132" s="8" t="n">
        <v>0.3</v>
      </c>
      <c r="H132" s="7" t="s">
        <v>1968</v>
      </c>
      <c r="I132" s="7" t="s">
        <v>367</v>
      </c>
      <c r="J132" s="7" t="s">
        <v>568</v>
      </c>
      <c r="K132" s="7" t="s">
        <v>569</v>
      </c>
      <c r="L132" s="7"/>
      <c r="M132" s="7" t="s">
        <v>1267</v>
      </c>
      <c r="N132" s="7" t="s">
        <v>1956</v>
      </c>
      <c r="O132" s="7"/>
      <c r="P132" s="7"/>
    </row>
    <row r="133" customFormat="false" ht="214.15" hidden="false" customHeight="false" outlineLevel="0" collapsed="false">
      <c r="A133" s="7" t="s">
        <v>1969</v>
      </c>
      <c r="B133" s="7" t="s">
        <v>1970</v>
      </c>
      <c r="C133" s="7" t="s">
        <v>1349</v>
      </c>
      <c r="D133" s="7" t="s">
        <v>613</v>
      </c>
      <c r="E133" s="7" t="s">
        <v>1971</v>
      </c>
      <c r="F133" s="7" t="s">
        <v>1273</v>
      </c>
      <c r="G133" s="8" t="n">
        <v>0.1</v>
      </c>
      <c r="H133" s="7" t="s">
        <v>1972</v>
      </c>
      <c r="I133" s="7" t="s">
        <v>367</v>
      </c>
      <c r="J133" s="7" t="s">
        <v>568</v>
      </c>
      <c r="K133" s="7" t="s">
        <v>569</v>
      </c>
      <c r="L133" s="7"/>
      <c r="M133" s="7" t="s">
        <v>1267</v>
      </c>
      <c r="N133" s="7" t="s">
        <v>1956</v>
      </c>
      <c r="O133" s="7"/>
      <c r="P133" s="7"/>
    </row>
    <row r="134" customFormat="false" ht="68.65" hidden="false" customHeight="false" outlineLevel="0" collapsed="false">
      <c r="A134" s="7" t="s">
        <v>1973</v>
      </c>
      <c r="B134" s="7" t="s">
        <v>1974</v>
      </c>
      <c r="C134" s="7" t="s">
        <v>1349</v>
      </c>
      <c r="D134" s="7" t="s">
        <v>613</v>
      </c>
      <c r="E134" s="7" t="s">
        <v>1975</v>
      </c>
      <c r="F134" s="7" t="s">
        <v>1976</v>
      </c>
      <c r="G134" s="8" t="n">
        <v>1.2</v>
      </c>
      <c r="H134" s="7" t="s">
        <v>1977</v>
      </c>
      <c r="I134" s="7" t="s">
        <v>347</v>
      </c>
      <c r="J134" s="7" t="s">
        <v>556</v>
      </c>
      <c r="K134" s="7" t="s">
        <v>1271</v>
      </c>
      <c r="L134" s="7"/>
      <c r="M134" s="7" t="s">
        <v>1955</v>
      </c>
      <c r="N134" s="7" t="s">
        <v>1956</v>
      </c>
      <c r="O134" s="7"/>
      <c r="P134" s="7"/>
    </row>
    <row r="135" customFormat="false" ht="91" hidden="false" customHeight="false" outlineLevel="0" collapsed="false">
      <c r="A135" s="7" t="s">
        <v>1978</v>
      </c>
      <c r="B135" s="7" t="s">
        <v>1979</v>
      </c>
      <c r="C135" s="7" t="s">
        <v>1349</v>
      </c>
      <c r="D135" s="7" t="s">
        <v>1279</v>
      </c>
      <c r="E135" s="7" t="s">
        <v>1980</v>
      </c>
      <c r="F135" s="7" t="s">
        <v>1281</v>
      </c>
      <c r="G135" s="8" t="n">
        <v>0.2</v>
      </c>
      <c r="H135" s="7" t="s">
        <v>1981</v>
      </c>
      <c r="I135" s="7" t="s">
        <v>347</v>
      </c>
      <c r="J135" s="7" t="s">
        <v>568</v>
      </c>
      <c r="K135" s="7" t="s">
        <v>569</v>
      </c>
      <c r="L135" s="7"/>
      <c r="M135" s="7" t="s">
        <v>1982</v>
      </c>
      <c r="N135" s="7" t="s">
        <v>1284</v>
      </c>
      <c r="O135" s="7"/>
      <c r="P135" s="7"/>
    </row>
    <row r="136" customFormat="false" ht="68.65" hidden="false" customHeight="false" outlineLevel="0" collapsed="false">
      <c r="A136" s="7" t="s">
        <v>1983</v>
      </c>
      <c r="B136" s="7" t="s">
        <v>1984</v>
      </c>
      <c r="C136" s="7" t="s">
        <v>1349</v>
      </c>
      <c r="D136" s="7" t="s">
        <v>1279</v>
      </c>
      <c r="E136" s="7" t="s">
        <v>1985</v>
      </c>
      <c r="F136" s="7" t="s">
        <v>1986</v>
      </c>
      <c r="G136" s="8" t="n">
        <v>0.9</v>
      </c>
      <c r="H136" s="7" t="s">
        <v>1987</v>
      </c>
      <c r="I136" s="7" t="s">
        <v>250</v>
      </c>
      <c r="J136" s="7" t="s">
        <v>556</v>
      </c>
      <c r="K136" s="7" t="s">
        <v>557</v>
      </c>
      <c r="L136" s="7"/>
      <c r="M136" s="7" t="s">
        <v>1988</v>
      </c>
      <c r="N136" s="7" t="s">
        <v>1284</v>
      </c>
      <c r="O136" s="7"/>
      <c r="P136" s="7"/>
    </row>
    <row r="137" customFormat="false" ht="639.55" hidden="false" customHeight="false" outlineLevel="0" collapsed="false">
      <c r="A137" s="7" t="s">
        <v>1989</v>
      </c>
      <c r="B137" s="7" t="s">
        <v>1990</v>
      </c>
      <c r="C137" s="7" t="s">
        <v>1349</v>
      </c>
      <c r="D137" s="7" t="s">
        <v>623</v>
      </c>
      <c r="E137" s="7" t="s">
        <v>1991</v>
      </c>
      <c r="F137" s="7" t="s">
        <v>1315</v>
      </c>
      <c r="G137" s="8" t="n">
        <v>0.5</v>
      </c>
      <c r="H137" s="7" t="s">
        <v>1992</v>
      </c>
      <c r="I137" s="7" t="s">
        <v>523</v>
      </c>
      <c r="J137" s="7" t="s">
        <v>628</v>
      </c>
      <c r="K137" s="7" t="s">
        <v>569</v>
      </c>
      <c r="L137" s="7"/>
      <c r="M137" s="7"/>
      <c r="N137" s="7"/>
      <c r="O137" s="7"/>
      <c r="P137" s="7"/>
    </row>
    <row r="138" customFormat="false" ht="639.55" hidden="false" customHeight="false" outlineLevel="0" collapsed="false">
      <c r="A138" s="7" t="s">
        <v>1993</v>
      </c>
      <c r="B138" s="7" t="s">
        <v>1994</v>
      </c>
      <c r="C138" s="7" t="s">
        <v>1349</v>
      </c>
      <c r="D138" s="7" t="s">
        <v>623</v>
      </c>
      <c r="E138" s="7" t="s">
        <v>1995</v>
      </c>
      <c r="F138" s="7" t="s">
        <v>1315</v>
      </c>
      <c r="G138" s="8" t="n">
        <v>0.4</v>
      </c>
      <c r="H138" s="7" t="s">
        <v>1996</v>
      </c>
      <c r="I138" s="7" t="s">
        <v>523</v>
      </c>
      <c r="J138" s="7" t="s">
        <v>628</v>
      </c>
      <c r="K138" s="7" t="s">
        <v>569</v>
      </c>
      <c r="L138" s="7"/>
      <c r="M138" s="7"/>
      <c r="N138" s="7"/>
      <c r="O138" s="7"/>
      <c r="P138" s="7"/>
    </row>
    <row r="139" customFormat="false" ht="639.55" hidden="false" customHeight="false" outlineLevel="0" collapsed="false">
      <c r="A139" s="7" t="s">
        <v>1997</v>
      </c>
      <c r="B139" s="7" t="s">
        <v>1998</v>
      </c>
      <c r="C139" s="7" t="s">
        <v>1349</v>
      </c>
      <c r="D139" s="7" t="s">
        <v>623</v>
      </c>
      <c r="E139" s="7" t="s">
        <v>1999</v>
      </c>
      <c r="F139" s="7" t="s">
        <v>1315</v>
      </c>
      <c r="G139" s="8" t="n">
        <v>0.2</v>
      </c>
      <c r="H139" s="7" t="s">
        <v>2000</v>
      </c>
      <c r="I139" s="7" t="s">
        <v>523</v>
      </c>
      <c r="J139" s="7" t="s">
        <v>628</v>
      </c>
      <c r="K139" s="7" t="s">
        <v>569</v>
      </c>
      <c r="L139" s="7"/>
      <c r="M139" s="7"/>
      <c r="N139" s="7"/>
      <c r="O139" s="7"/>
      <c r="P139" s="7"/>
    </row>
    <row r="140" customFormat="false" ht="57.45" hidden="false" customHeight="false" outlineLevel="0" collapsed="false">
      <c r="A140" s="7" t="s">
        <v>2001</v>
      </c>
      <c r="B140" s="7" t="s">
        <v>2002</v>
      </c>
      <c r="C140" s="7" t="s">
        <v>1349</v>
      </c>
      <c r="D140" s="7" t="s">
        <v>623</v>
      </c>
      <c r="E140" s="7" t="s">
        <v>2003</v>
      </c>
      <c r="F140" s="7" t="s">
        <v>2004</v>
      </c>
      <c r="G140" s="8" t="n">
        <v>0.1</v>
      </c>
      <c r="H140" s="7" t="s">
        <v>2005</v>
      </c>
      <c r="I140" s="7" t="s">
        <v>367</v>
      </c>
      <c r="J140" s="7" t="s">
        <v>568</v>
      </c>
      <c r="K140" s="7" t="s">
        <v>569</v>
      </c>
      <c r="L140" s="7"/>
      <c r="M140" s="7" t="s">
        <v>412</v>
      </c>
      <c r="N140" s="7"/>
      <c r="O140" s="7"/>
      <c r="P140" s="7"/>
    </row>
    <row r="141" customFormat="false" ht="46.25" hidden="false" customHeight="false" outlineLevel="0" collapsed="false">
      <c r="A141" s="7" t="s">
        <v>2006</v>
      </c>
      <c r="B141" s="7" t="s">
        <v>2007</v>
      </c>
      <c r="C141" s="7" t="s">
        <v>1349</v>
      </c>
      <c r="D141" s="7" t="s">
        <v>623</v>
      </c>
      <c r="E141" s="7" t="s">
        <v>2008</v>
      </c>
      <c r="F141" s="7" t="s">
        <v>2009</v>
      </c>
      <c r="G141" s="8" t="n">
        <v>0.1</v>
      </c>
      <c r="H141" s="7" t="s">
        <v>2010</v>
      </c>
      <c r="I141" s="7" t="s">
        <v>627</v>
      </c>
      <c r="J141" s="7" t="s">
        <v>568</v>
      </c>
      <c r="K141" s="7" t="s">
        <v>569</v>
      </c>
      <c r="L141" s="7"/>
      <c r="M141" s="7" t="s">
        <v>412</v>
      </c>
      <c r="N141" s="7"/>
      <c r="O141" s="7"/>
      <c r="P141" s="7"/>
    </row>
    <row r="143" customFormat="false" ht="15" hidden="false" customHeight="false" outlineLevel="0" collapsed="false">
      <c r="E143" s="11" t="s">
        <v>646</v>
      </c>
      <c r="F143" s="11" t="n">
        <f aca="false">COUNTA(A5:A141)</f>
        <v>137</v>
      </c>
      <c r="G143" s="12" t="n">
        <f aca="false">SUM(G5:G141)</f>
        <v>59.8</v>
      </c>
    </row>
  </sheetData>
  <autoFilter ref="A4:P1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4BC4"/>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4" min="3" style="0" width="14"/>
    <col collapsed="false" customWidth="true" hidden="false" outlineLevel="0" max="5" min="5" style="0" width="16"/>
    <col collapsed="false" customWidth="true" hidden="false" outlineLevel="0" max="6" min="6" style="0" width="18"/>
  </cols>
  <sheetData>
    <row r="1" customFormat="false" ht="17.35" hidden="false" customHeight="false" outlineLevel="0" collapsed="false">
      <c r="A1" s="1" t="s">
        <v>2011</v>
      </c>
    </row>
    <row r="2" customFormat="false" ht="15" hidden="false" customHeight="false" outlineLevel="0" collapsed="false">
      <c r="A2" s="2" t="s">
        <v>2012</v>
      </c>
    </row>
    <row r="4" customFormat="false" ht="31.5" hidden="false" customHeight="true" outlineLevel="0" collapsed="false">
      <c r="A4" s="6" t="s">
        <v>649</v>
      </c>
      <c r="B4" s="6" t="s">
        <v>540</v>
      </c>
      <c r="C4" s="6" t="s">
        <v>2013</v>
      </c>
      <c r="D4" s="6" t="s">
        <v>2014</v>
      </c>
      <c r="E4" s="6" t="s">
        <v>2015</v>
      </c>
      <c r="F4" s="6" t="s">
        <v>2016</v>
      </c>
    </row>
    <row r="5" customFormat="false" ht="15" hidden="false" customHeight="false" outlineLevel="0" collapsed="false">
      <c r="A5" s="7" t="n">
        <v>1</v>
      </c>
      <c r="B5" s="7" t="s">
        <v>552</v>
      </c>
      <c r="C5" s="7" t="n">
        <v>13</v>
      </c>
      <c r="D5" s="8" t="n">
        <f aca="false">ROUND(C5*RISCO_PARAMETROS!$B$5,2)</f>
        <v>5.85</v>
      </c>
      <c r="E5" s="7" t="n">
        <f aca="false">COUNTIF(I_ESSENCIAIS_10!$D$5:$D$14,$B5)+COUNTIF(II_PACTO_QPE_76!$D$5:$D$80,$B5)+COUNTIF(III_PROETICA_137!$D$5:$D$141,$B5)</f>
        <v>23</v>
      </c>
      <c r="F5" s="8" t="n">
        <f aca="false">SUMIF(I_ESSENCIAIS_10!$D$5:$D$14,$B5,I_ESSENCIAIS_10!$G$5:$G$14)+SUMIF(II_PACTO_QPE_76!$D$5:$D$80,$B5,II_PACTO_QPE_76!$G$5:$G$80)+SUMIF(III_PROETICA_137!$D$5:$D$141,$B5,III_PROETICA_137!$G$5:$G$141)</f>
        <v>13</v>
      </c>
    </row>
    <row r="6" customFormat="false" ht="15" hidden="false" customHeight="false" outlineLevel="0" collapsed="false">
      <c r="A6" s="7" t="n">
        <v>2</v>
      </c>
      <c r="B6" s="7" t="s">
        <v>564</v>
      </c>
      <c r="C6" s="7" t="n">
        <v>13</v>
      </c>
      <c r="D6" s="8" t="n">
        <f aca="false">ROUND(C6*RISCO_PARAMETROS!$B$5,2)</f>
        <v>5.85</v>
      </c>
      <c r="E6" s="7" t="n">
        <f aca="false">COUNTIF(I_ESSENCIAIS_10!$D$5:$D$14,$B6)+COUNTIF(II_PACTO_QPE_76!$D$5:$D$80,$B6)+COUNTIF(III_PROETICA_137!$D$5:$D$141,$B6)</f>
        <v>13</v>
      </c>
      <c r="F6" s="8" t="n">
        <f aca="false">SUMIF(I_ESSENCIAIS_10!$D$5:$D$14,$B6,I_ESSENCIAIS_10!$G$5:$G$14)+SUMIF(II_PACTO_QPE_76!$D$5:$D$80,$B6,II_PACTO_QPE_76!$G$5:$G$80)+SUMIF(III_PROETICA_137!$D$5:$D$141,$B6,III_PROETICA_137!$G$5:$G$141)</f>
        <v>13</v>
      </c>
    </row>
    <row r="7" customFormat="false" ht="15" hidden="false" customHeight="false" outlineLevel="0" collapsed="false">
      <c r="A7" s="7" t="n">
        <v>3</v>
      </c>
      <c r="B7" s="7" t="s">
        <v>575</v>
      </c>
      <c r="C7" s="7" t="n">
        <v>10</v>
      </c>
      <c r="D7" s="8" t="n">
        <f aca="false">ROUND(C7*RISCO_PARAMETROS!$B$5,2)</f>
        <v>4.5</v>
      </c>
      <c r="E7" s="7" t="n">
        <f aca="false">COUNTIF(I_ESSENCIAIS_10!$D$5:$D$14,$B7)+COUNTIF(II_PACTO_QPE_76!$D$5:$D$80,$B7)+COUNTIF(III_PROETICA_137!$D$5:$D$141,$B7)</f>
        <v>14</v>
      </c>
      <c r="F7" s="8" t="n">
        <f aca="false">SUMIF(I_ESSENCIAIS_10!$D$5:$D$14,$B7,I_ESSENCIAIS_10!$G$5:$G$14)+SUMIF(II_PACTO_QPE_76!$D$5:$D$80,$B7,II_PACTO_QPE_76!$G$5:$G$80)+SUMIF(III_PROETICA_137!$D$5:$D$141,$B7,III_PROETICA_137!$G$5:$G$141)</f>
        <v>10</v>
      </c>
    </row>
    <row r="8" customFormat="false" ht="15" hidden="false" customHeight="false" outlineLevel="0" collapsed="false">
      <c r="A8" s="7" t="n">
        <v>4</v>
      </c>
      <c r="B8" s="7" t="s">
        <v>584</v>
      </c>
      <c r="C8" s="7" t="n">
        <v>19</v>
      </c>
      <c r="D8" s="8" t="n">
        <f aca="false">ROUND(C8*RISCO_PARAMETROS!$B$5,2)</f>
        <v>8.55</v>
      </c>
      <c r="E8" s="7" t="n">
        <f aca="false">COUNTIF(I_ESSENCIAIS_10!$D$5:$D$14,$B8)+COUNTIF(II_PACTO_QPE_76!$D$5:$D$80,$B8)+COUNTIF(III_PROETICA_137!$D$5:$D$141,$B8)</f>
        <v>49</v>
      </c>
      <c r="F8" s="8" t="n">
        <f aca="false">SUMIF(I_ESSENCIAIS_10!$D$5:$D$14,$B8,I_ESSENCIAIS_10!$G$5:$G$14)+SUMIF(II_PACTO_QPE_76!$D$5:$D$80,$B8,II_PACTO_QPE_76!$G$5:$G$80)+SUMIF(III_PROETICA_137!$D$5:$D$141,$B8,III_PROETICA_137!$G$5:$G$141)</f>
        <v>19</v>
      </c>
    </row>
    <row r="9" customFormat="false" ht="15" hidden="false" customHeight="false" outlineLevel="0" collapsed="false">
      <c r="A9" s="7" t="n">
        <v>5</v>
      </c>
      <c r="B9" s="7" t="s">
        <v>594</v>
      </c>
      <c r="C9" s="7" t="n">
        <v>11</v>
      </c>
      <c r="D9" s="8" t="n">
        <f aca="false">ROUND(C9*RISCO_PARAMETROS!$B$5,2)</f>
        <v>4.95</v>
      </c>
      <c r="E9" s="7" t="n">
        <f aca="false">COUNTIF(I_ESSENCIAIS_10!$D$5:$D$14,$B9)+COUNTIF(II_PACTO_QPE_76!$D$5:$D$80,$B9)+COUNTIF(III_PROETICA_137!$D$5:$D$141,$B9)</f>
        <v>32</v>
      </c>
      <c r="F9" s="8" t="n">
        <f aca="false">SUMIF(I_ESSENCIAIS_10!$D$5:$D$14,$B9,I_ESSENCIAIS_10!$G$5:$G$14)+SUMIF(II_PACTO_QPE_76!$D$5:$D$80,$B9,II_PACTO_QPE_76!$G$5:$G$80)+SUMIF(III_PROETICA_137!$D$5:$D$141,$B9,III_PROETICA_137!$G$5:$G$141)</f>
        <v>11</v>
      </c>
    </row>
    <row r="10" customFormat="false" ht="15" hidden="false" customHeight="false" outlineLevel="0" collapsed="false">
      <c r="A10" s="7" t="n">
        <v>6</v>
      </c>
      <c r="B10" s="7" t="s">
        <v>1184</v>
      </c>
      <c r="C10" s="7" t="n">
        <v>6</v>
      </c>
      <c r="D10" s="8" t="n">
        <f aca="false">ROUND(C10*RISCO_PARAMETROS!$B$5,2)</f>
        <v>2.7</v>
      </c>
      <c r="E10" s="7" t="n">
        <f aca="false">COUNTIF(I_ESSENCIAIS_10!$D$5:$D$14,$B10)+COUNTIF(II_PACTO_QPE_76!$D$5:$D$80,$B10)+COUNTIF(III_PROETICA_137!$D$5:$D$141,$B10)</f>
        <v>11</v>
      </c>
      <c r="F10" s="8" t="n">
        <f aca="false">SUMIF(I_ESSENCIAIS_10!$D$5:$D$14,$B10,I_ESSENCIAIS_10!$G$5:$G$14)+SUMIF(II_PACTO_QPE_76!$D$5:$D$80,$B10,II_PACTO_QPE_76!$G$5:$G$80)+SUMIF(III_PROETICA_137!$D$5:$D$141,$B10,III_PROETICA_137!$G$5:$G$141)</f>
        <v>6</v>
      </c>
    </row>
    <row r="11" customFormat="false" ht="15" hidden="false" customHeight="false" outlineLevel="0" collapsed="false">
      <c r="A11" s="7" t="n">
        <v>7</v>
      </c>
      <c r="B11" s="7" t="s">
        <v>613</v>
      </c>
      <c r="C11" s="7" t="n">
        <v>9</v>
      </c>
      <c r="D11" s="8" t="n">
        <f aca="false">ROUND(C11*RISCO_PARAMETROS!$B$5,2)</f>
        <v>4.05</v>
      </c>
      <c r="E11" s="7" t="n">
        <f aca="false">COUNTIF(I_ESSENCIAIS_10!$D$5:$D$14,$B11)+COUNTIF(II_PACTO_QPE_76!$D$5:$D$80,$B11)+COUNTIF(III_PROETICA_137!$D$5:$D$141,$B11)</f>
        <v>29</v>
      </c>
      <c r="F11" s="8" t="n">
        <f aca="false">SUMIF(I_ESSENCIAIS_10!$D$5:$D$14,$B11,I_ESSENCIAIS_10!$G$5:$G$14)+SUMIF(II_PACTO_QPE_76!$D$5:$D$80,$B11,II_PACTO_QPE_76!$G$5:$G$80)+SUMIF(III_PROETICA_137!$D$5:$D$141,$B11,III_PROETICA_137!$G$5:$G$141)</f>
        <v>9</v>
      </c>
    </row>
    <row r="12" customFormat="false" ht="15" hidden="false" customHeight="false" outlineLevel="0" collapsed="false">
      <c r="A12" s="7" t="n">
        <v>8</v>
      </c>
      <c r="B12" s="7" t="s">
        <v>1207</v>
      </c>
      <c r="C12" s="7" t="n">
        <v>9</v>
      </c>
      <c r="D12" s="8" t="n">
        <f aca="false">ROUND(C12*RISCO_PARAMETROS!$B$5,2)</f>
        <v>4.05</v>
      </c>
      <c r="E12" s="7" t="n">
        <f aca="false">COUNTIF(I_ESSENCIAIS_10!$D$5:$D$14,$B12)+COUNTIF(II_PACTO_QPE_76!$D$5:$D$80,$B12)+COUNTIF(III_PROETICA_137!$D$5:$D$141,$B12)</f>
        <v>26</v>
      </c>
      <c r="F12" s="8" t="n">
        <f aca="false">SUMIF(I_ESSENCIAIS_10!$D$5:$D$14,$B12,I_ESSENCIAIS_10!$G$5:$G$14)+SUMIF(II_PACTO_QPE_76!$D$5:$D$80,$B12,II_PACTO_QPE_76!$G$5:$G$80)+SUMIF(III_PROETICA_137!$D$5:$D$141,$B12,III_PROETICA_137!$G$5:$G$141)</f>
        <v>9</v>
      </c>
    </row>
    <row r="13" customFormat="false" ht="15" hidden="false" customHeight="false" outlineLevel="0" collapsed="false">
      <c r="A13" s="7" t="n">
        <v>9</v>
      </c>
      <c r="B13" s="7" t="s">
        <v>1279</v>
      </c>
      <c r="C13" s="7" t="n">
        <v>5</v>
      </c>
      <c r="D13" s="8" t="n">
        <f aca="false">ROUND(C13*RISCO_PARAMETROS!$B$5,2)</f>
        <v>2.25</v>
      </c>
      <c r="E13" s="7" t="n">
        <f aca="false">COUNTIF(I_ESSENCIAIS_10!$D$5:$D$14,$B13)+COUNTIF(II_PACTO_QPE_76!$D$5:$D$80,$B13)+COUNTIF(III_PROETICA_137!$D$5:$D$141,$B13)</f>
        <v>9</v>
      </c>
      <c r="F13" s="8" t="n">
        <f aca="false">SUMIF(I_ESSENCIAIS_10!$D$5:$D$14,$B13,I_ESSENCIAIS_10!$G$5:$G$14)+SUMIF(II_PACTO_QPE_76!$D$5:$D$80,$B13,II_PACTO_QPE_76!$G$5:$G$80)+SUMIF(III_PROETICA_137!$D$5:$D$141,$B13,III_PROETICA_137!$G$5:$G$141)</f>
        <v>5</v>
      </c>
    </row>
    <row r="14" customFormat="false" ht="15" hidden="false" customHeight="false" outlineLevel="0" collapsed="false">
      <c r="A14" s="7" t="n">
        <v>10</v>
      </c>
      <c r="B14" s="7" t="s">
        <v>623</v>
      </c>
      <c r="C14" s="7" t="n">
        <v>5</v>
      </c>
      <c r="D14" s="8" t="n">
        <f aca="false">ROUND(C14*RISCO_PARAMETROS!$B$5,2)</f>
        <v>2.25</v>
      </c>
      <c r="E14" s="7" t="n">
        <f aca="false">COUNTIF(I_ESSENCIAIS_10!$D$5:$D$14,$B14)+COUNTIF(II_PACTO_QPE_76!$D$5:$D$80,$B14)+COUNTIF(III_PROETICA_137!$D$5:$D$141,$B14)</f>
        <v>17</v>
      </c>
      <c r="F14" s="8" t="n">
        <f aca="false">SUMIF(I_ESSENCIAIS_10!$D$5:$D$14,$B14,I_ESSENCIAIS_10!$G$5:$G$14)+SUMIF(II_PACTO_QPE_76!$D$5:$D$80,$B14,II_PACTO_QPE_76!$G$5:$G$80)+SUMIF(III_PROETICA_137!$D$5:$D$141,$B14,III_PROETICA_137!$G$5:$G$141)</f>
        <v>5</v>
      </c>
    </row>
    <row r="15" customFormat="false" ht="15" hidden="false" customHeight="false" outlineLevel="0" collapsed="false">
      <c r="B15" s="11" t="s">
        <v>2017</v>
      </c>
      <c r="C15" s="11" t="n">
        <f aca="false">SUM(C5:C14)</f>
        <v>100</v>
      </c>
      <c r="D15" s="11" t="n">
        <f aca="false">SUM(D5:D14)</f>
        <v>45</v>
      </c>
      <c r="E15" s="11" t="n">
        <f aca="false">SUM(E5:E14)</f>
        <v>223</v>
      </c>
      <c r="F15" s="11" t="n">
        <f aca="false">SUM(F5:F14)</f>
        <v>100</v>
      </c>
    </row>
  </sheetData>
  <autoFilter ref="A4:F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200"/>
    <pageSetUpPr fitToPage="false"/>
  </sheetPr>
  <dimension ref="A1:O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8"/>
    <col collapsed="false" customWidth="true" hidden="false" outlineLevel="0" max="5" min="4" style="0" width="9"/>
    <col collapsed="false" customWidth="true" hidden="false" outlineLevel="0" max="6" min="6" style="0" width="70"/>
    <col collapsed="false" customWidth="true" hidden="false" outlineLevel="0" max="7" min="7" style="0" width="55"/>
    <col collapsed="false" customWidth="true" hidden="false" outlineLevel="0" max="8" min="8" style="0" width="15"/>
    <col collapsed="false" customWidth="true" hidden="false" outlineLevel="0" max="9" min="9" style="0" width="50"/>
    <col collapsed="false" customWidth="true" hidden="false" outlineLevel="0" max="10" min="10" style="0" width="36"/>
    <col collapsed="false" customWidth="true" hidden="false" outlineLevel="0" max="11" min="11" style="0" width="30"/>
    <col collapsed="false" customWidth="true" hidden="false" outlineLevel="0" max="12" min="12" style="0" width="20"/>
    <col collapsed="false" customWidth="true" hidden="false" outlineLevel="0" max="13" min="13" style="0" width="40"/>
    <col collapsed="false" customWidth="true" hidden="false" outlineLevel="0" max="14" min="14" style="0" width="30"/>
    <col collapsed="false" customWidth="true" hidden="false" outlineLevel="0" max="15" min="15" style="0" width="12"/>
  </cols>
  <sheetData>
    <row r="1" customFormat="false" ht="17.35" hidden="false" customHeight="false" outlineLevel="0" collapsed="false">
      <c r="A1" s="1" t="s">
        <v>2018</v>
      </c>
    </row>
    <row r="2" customFormat="false" ht="15" hidden="false" customHeight="false" outlineLevel="0" collapsed="false">
      <c r="A2" s="2" t="s">
        <v>2019</v>
      </c>
    </row>
    <row r="4" customFormat="false" ht="31.5" hidden="false" customHeight="true" outlineLevel="0" collapsed="false">
      <c r="A4" s="6" t="s">
        <v>2020</v>
      </c>
      <c r="B4" s="6" t="s">
        <v>2021</v>
      </c>
      <c r="C4" s="6" t="s">
        <v>2022</v>
      </c>
      <c r="D4" s="6" t="s">
        <v>2023</v>
      </c>
      <c r="E4" s="6" t="s">
        <v>2024</v>
      </c>
      <c r="F4" s="6" t="s">
        <v>120</v>
      </c>
      <c r="G4" s="6" t="s">
        <v>2025</v>
      </c>
      <c r="H4" s="6" t="s">
        <v>2026</v>
      </c>
      <c r="I4" s="6" t="s">
        <v>2027</v>
      </c>
      <c r="J4" s="6" t="s">
        <v>2028</v>
      </c>
      <c r="K4" s="6" t="s">
        <v>2029</v>
      </c>
      <c r="L4" s="6" t="s">
        <v>127</v>
      </c>
      <c r="M4" s="6" t="s">
        <v>2030</v>
      </c>
      <c r="N4" s="6" t="s">
        <v>2031</v>
      </c>
      <c r="O4" s="6" t="s">
        <v>126</v>
      </c>
    </row>
    <row r="5" customFormat="false" ht="79.85" hidden="false" customHeight="false" outlineLevel="0" collapsed="false">
      <c r="A5" s="7" t="s">
        <v>181</v>
      </c>
      <c r="B5" s="7" t="s">
        <v>2032</v>
      </c>
      <c r="C5" s="7" t="s">
        <v>2033</v>
      </c>
      <c r="D5" s="7" t="s">
        <v>563</v>
      </c>
      <c r="E5" s="7" t="s">
        <v>563</v>
      </c>
      <c r="F5" s="7" t="s">
        <v>2034</v>
      </c>
      <c r="G5" s="7" t="s">
        <v>2035</v>
      </c>
      <c r="H5" s="7" t="s">
        <v>2036</v>
      </c>
      <c r="I5" s="7" t="s">
        <v>2037</v>
      </c>
      <c r="J5" s="7"/>
      <c r="K5" s="7" t="s">
        <v>2038</v>
      </c>
      <c r="L5" s="7" t="s">
        <v>2039</v>
      </c>
      <c r="M5" s="7" t="s">
        <v>2040</v>
      </c>
      <c r="N5" s="7" t="s">
        <v>2041</v>
      </c>
      <c r="O5" s="7" t="s">
        <v>2042</v>
      </c>
    </row>
    <row r="6" customFormat="false" ht="68.65" hidden="false" customHeight="false" outlineLevel="0" collapsed="false">
      <c r="A6" s="7" t="s">
        <v>2043</v>
      </c>
      <c r="B6" s="7" t="s">
        <v>2032</v>
      </c>
      <c r="C6" s="7" t="s">
        <v>2044</v>
      </c>
      <c r="D6" s="7" t="s">
        <v>695</v>
      </c>
      <c r="E6" s="7" t="s">
        <v>695</v>
      </c>
      <c r="F6" s="7" t="s">
        <v>2045</v>
      </c>
      <c r="G6" s="7" t="s">
        <v>2046</v>
      </c>
      <c r="H6" s="7" t="s">
        <v>2036</v>
      </c>
      <c r="I6" s="7" t="s">
        <v>2047</v>
      </c>
      <c r="J6" s="7"/>
      <c r="K6" s="7" t="s">
        <v>2048</v>
      </c>
      <c r="L6" s="7" t="s">
        <v>2039</v>
      </c>
      <c r="M6" s="7"/>
      <c r="N6" s="7" t="s">
        <v>2049</v>
      </c>
      <c r="O6" s="7" t="s">
        <v>2050</v>
      </c>
    </row>
    <row r="7" customFormat="false" ht="68.65" hidden="false" customHeight="false" outlineLevel="0" collapsed="false">
      <c r="A7" s="7" t="s">
        <v>236</v>
      </c>
      <c r="B7" s="7" t="s">
        <v>2032</v>
      </c>
      <c r="C7" s="7" t="s">
        <v>2051</v>
      </c>
      <c r="D7" s="7" t="s">
        <v>2052</v>
      </c>
      <c r="E7" s="7" t="s">
        <v>2052</v>
      </c>
      <c r="F7" s="7" t="s">
        <v>2053</v>
      </c>
      <c r="G7" s="7" t="s">
        <v>2054</v>
      </c>
      <c r="H7" s="7" t="s">
        <v>2036</v>
      </c>
      <c r="I7" s="7" t="s">
        <v>2055</v>
      </c>
      <c r="J7" s="7"/>
      <c r="K7" s="7" t="s">
        <v>2056</v>
      </c>
      <c r="L7" s="7" t="s">
        <v>2039</v>
      </c>
      <c r="M7" s="7"/>
      <c r="N7" s="7" t="s">
        <v>2057</v>
      </c>
      <c r="O7" s="7" t="s">
        <v>2058</v>
      </c>
    </row>
    <row r="8" customFormat="false" ht="68.65" hidden="false" customHeight="false" outlineLevel="0" collapsed="false">
      <c r="A8" s="7" t="s">
        <v>353</v>
      </c>
      <c r="B8" s="7" t="s">
        <v>2032</v>
      </c>
      <c r="C8" s="7" t="s">
        <v>2059</v>
      </c>
      <c r="D8" s="7" t="s">
        <v>2060</v>
      </c>
      <c r="E8" s="7" t="s">
        <v>2060</v>
      </c>
      <c r="F8" s="7" t="s">
        <v>2061</v>
      </c>
      <c r="G8" s="7" t="s">
        <v>2062</v>
      </c>
      <c r="H8" s="7" t="s">
        <v>2063</v>
      </c>
      <c r="I8" s="7" t="s">
        <v>2064</v>
      </c>
      <c r="J8" s="7" t="s">
        <v>2065</v>
      </c>
      <c r="K8" s="7" t="s">
        <v>2066</v>
      </c>
      <c r="L8" s="7" t="s">
        <v>2039</v>
      </c>
      <c r="M8" s="7"/>
      <c r="N8" s="7" t="s">
        <v>2067</v>
      </c>
      <c r="O8" s="7" t="s">
        <v>2068</v>
      </c>
    </row>
    <row r="9" customFormat="false" ht="68.65" hidden="false" customHeight="false" outlineLevel="0" collapsed="false">
      <c r="A9" s="7" t="s">
        <v>290</v>
      </c>
      <c r="B9" s="7" t="s">
        <v>2032</v>
      </c>
      <c r="C9" s="7" t="s">
        <v>2069</v>
      </c>
      <c r="D9" s="7" t="s">
        <v>2070</v>
      </c>
      <c r="E9" s="7"/>
      <c r="F9" s="7" t="s">
        <v>2071</v>
      </c>
      <c r="G9" s="7" t="s">
        <v>2072</v>
      </c>
      <c r="H9" s="7" t="s">
        <v>2036</v>
      </c>
      <c r="I9" s="7" t="s">
        <v>2073</v>
      </c>
      <c r="J9" s="7"/>
      <c r="K9" s="7" t="s">
        <v>2074</v>
      </c>
      <c r="L9" s="7" t="s">
        <v>347</v>
      </c>
      <c r="M9" s="7"/>
      <c r="N9" s="7" t="s">
        <v>2075</v>
      </c>
      <c r="O9" s="7" t="s">
        <v>2076</v>
      </c>
    </row>
    <row r="10" customFormat="false" ht="102.2" hidden="false" customHeight="false" outlineLevel="0" collapsed="false">
      <c r="A10" s="7" t="s">
        <v>2077</v>
      </c>
      <c r="B10" s="7" t="s">
        <v>2078</v>
      </c>
      <c r="C10" s="7" t="s">
        <v>2079</v>
      </c>
      <c r="D10" s="7" t="s">
        <v>2080</v>
      </c>
      <c r="E10" s="7" t="s">
        <v>2081</v>
      </c>
      <c r="F10" s="7" t="s">
        <v>2082</v>
      </c>
      <c r="G10" s="7" t="s">
        <v>2083</v>
      </c>
      <c r="H10" s="7" t="s">
        <v>2063</v>
      </c>
      <c r="I10" s="7" t="s">
        <v>2084</v>
      </c>
      <c r="J10" s="7" t="s">
        <v>2085</v>
      </c>
      <c r="K10" s="7"/>
      <c r="L10" s="7" t="s">
        <v>250</v>
      </c>
      <c r="M10" s="7"/>
      <c r="N10" s="7" t="s">
        <v>2086</v>
      </c>
      <c r="O10" s="7" t="s">
        <v>2087</v>
      </c>
    </row>
    <row r="11" customFormat="false" ht="68.65" hidden="false" customHeight="false" outlineLevel="0" collapsed="false">
      <c r="A11" s="7" t="s">
        <v>2088</v>
      </c>
      <c r="B11" s="7" t="s">
        <v>2078</v>
      </c>
      <c r="C11" s="7" t="s">
        <v>2089</v>
      </c>
      <c r="D11" s="7" t="s">
        <v>2090</v>
      </c>
      <c r="E11" s="7" t="s">
        <v>2090</v>
      </c>
      <c r="F11" s="7" t="s">
        <v>2091</v>
      </c>
      <c r="G11" s="7" t="s">
        <v>2092</v>
      </c>
      <c r="H11" s="7" t="s">
        <v>2063</v>
      </c>
      <c r="I11" s="7" t="s">
        <v>2093</v>
      </c>
      <c r="J11" s="7" t="s">
        <v>2094</v>
      </c>
      <c r="K11" s="7"/>
      <c r="L11" s="7" t="s">
        <v>250</v>
      </c>
      <c r="M11" s="7"/>
      <c r="N11" s="7" t="s">
        <v>2095</v>
      </c>
      <c r="O11" s="7" t="s">
        <v>2096</v>
      </c>
    </row>
    <row r="12" customFormat="false" ht="68.65" hidden="false" customHeight="false" outlineLevel="0" collapsed="false">
      <c r="A12" s="7" t="s">
        <v>1113</v>
      </c>
      <c r="B12" s="7" t="s">
        <v>2078</v>
      </c>
      <c r="C12" s="7" t="s">
        <v>2097</v>
      </c>
      <c r="D12" s="7" t="s">
        <v>2098</v>
      </c>
      <c r="E12" s="7" t="s">
        <v>2090</v>
      </c>
      <c r="F12" s="7" t="s">
        <v>2099</v>
      </c>
      <c r="G12" s="7" t="s">
        <v>2100</v>
      </c>
      <c r="H12" s="7" t="s">
        <v>2063</v>
      </c>
      <c r="I12" s="7" t="s">
        <v>2101</v>
      </c>
      <c r="J12" s="7" t="s">
        <v>2102</v>
      </c>
      <c r="K12" s="7"/>
      <c r="L12" s="7" t="s">
        <v>250</v>
      </c>
      <c r="M12" s="7"/>
      <c r="N12" s="7" t="s">
        <v>2103</v>
      </c>
      <c r="O12" s="7" t="s">
        <v>2104</v>
      </c>
    </row>
    <row r="13" customFormat="false" ht="68.65" hidden="false" customHeight="false" outlineLevel="0" collapsed="false">
      <c r="A13" s="7" t="s">
        <v>2105</v>
      </c>
      <c r="B13" s="7" t="s">
        <v>2078</v>
      </c>
      <c r="C13" s="7" t="s">
        <v>2106</v>
      </c>
      <c r="D13" s="7"/>
      <c r="E13" s="7" t="s">
        <v>2107</v>
      </c>
      <c r="F13" s="7" t="s">
        <v>2108</v>
      </c>
      <c r="G13" s="7" t="s">
        <v>2109</v>
      </c>
      <c r="H13" s="7" t="s">
        <v>2063</v>
      </c>
      <c r="I13" s="7" t="s">
        <v>2110</v>
      </c>
      <c r="J13" s="7" t="s">
        <v>2111</v>
      </c>
      <c r="K13" s="7"/>
      <c r="L13" s="7" t="s">
        <v>627</v>
      </c>
      <c r="M13" s="7"/>
      <c r="N13" s="7" t="s">
        <v>2112</v>
      </c>
      <c r="O13" s="7" t="s">
        <v>2113</v>
      </c>
    </row>
    <row r="14" customFormat="false" ht="57.45" hidden="false" customHeight="false" outlineLevel="0" collapsed="false">
      <c r="A14" s="7" t="s">
        <v>2114</v>
      </c>
      <c r="B14" s="7" t="s">
        <v>2115</v>
      </c>
      <c r="C14" s="7" t="s">
        <v>2116</v>
      </c>
      <c r="D14" s="7" t="s">
        <v>588</v>
      </c>
      <c r="E14" s="7" t="s">
        <v>588</v>
      </c>
      <c r="F14" s="7" t="s">
        <v>2117</v>
      </c>
      <c r="G14" s="7" t="s">
        <v>2118</v>
      </c>
      <c r="H14" s="7" t="s">
        <v>2063</v>
      </c>
      <c r="I14" s="7" t="s">
        <v>2119</v>
      </c>
      <c r="J14" s="7" t="s">
        <v>2120</v>
      </c>
      <c r="K14" s="7"/>
      <c r="L14" s="7" t="s">
        <v>367</v>
      </c>
      <c r="M14" s="7"/>
      <c r="N14" s="7" t="s">
        <v>2121</v>
      </c>
      <c r="O14" s="7" t="s">
        <v>2122</v>
      </c>
    </row>
    <row r="15" customFormat="false" ht="68.65" hidden="false" customHeight="false" outlineLevel="0" collapsed="false">
      <c r="A15" s="7" t="s">
        <v>2123</v>
      </c>
      <c r="B15" s="7" t="s">
        <v>2115</v>
      </c>
      <c r="C15" s="7" t="s">
        <v>2124</v>
      </c>
      <c r="D15" s="7" t="s">
        <v>574</v>
      </c>
      <c r="E15" s="7" t="s">
        <v>574</v>
      </c>
      <c r="F15" s="7" t="s">
        <v>2125</v>
      </c>
      <c r="G15" s="7" t="s">
        <v>2126</v>
      </c>
      <c r="H15" s="7" t="s">
        <v>2063</v>
      </c>
      <c r="I15" s="7" t="s">
        <v>2127</v>
      </c>
      <c r="J15" s="7" t="s">
        <v>923</v>
      </c>
      <c r="K15" s="7"/>
      <c r="L15" s="7" t="s">
        <v>250</v>
      </c>
      <c r="M15" s="7"/>
      <c r="N15" s="7" t="s">
        <v>2128</v>
      </c>
      <c r="O15" s="7" t="s">
        <v>2129</v>
      </c>
    </row>
    <row r="16" customFormat="false" ht="68.65" hidden="false" customHeight="false" outlineLevel="0" collapsed="false">
      <c r="A16" s="7" t="s">
        <v>2130</v>
      </c>
      <c r="B16" s="7" t="s">
        <v>2115</v>
      </c>
      <c r="C16" s="7" t="s">
        <v>2131</v>
      </c>
      <c r="D16" s="7" t="s">
        <v>753</v>
      </c>
      <c r="E16" s="7" t="s">
        <v>753</v>
      </c>
      <c r="F16" s="7" t="s">
        <v>2132</v>
      </c>
      <c r="G16" s="7" t="s">
        <v>2133</v>
      </c>
      <c r="H16" s="7" t="s">
        <v>2036</v>
      </c>
      <c r="I16" s="7" t="s">
        <v>2134</v>
      </c>
      <c r="J16" s="7"/>
      <c r="K16" s="7"/>
      <c r="L16" s="7" t="s">
        <v>2039</v>
      </c>
      <c r="M16" s="7"/>
      <c r="N16" s="7" t="s">
        <v>2135</v>
      </c>
      <c r="O16" s="7" t="s">
        <v>2136</v>
      </c>
    </row>
    <row r="17" customFormat="false" ht="68.65" hidden="false" customHeight="false" outlineLevel="0" collapsed="false">
      <c r="A17" s="7" t="s">
        <v>1370</v>
      </c>
      <c r="B17" s="7" t="s">
        <v>2137</v>
      </c>
      <c r="C17" s="7" t="s">
        <v>2138</v>
      </c>
      <c r="D17" s="7" t="s">
        <v>982</v>
      </c>
      <c r="E17" s="7" t="s">
        <v>982</v>
      </c>
      <c r="F17" s="7" t="s">
        <v>2139</v>
      </c>
      <c r="G17" s="7" t="s">
        <v>2140</v>
      </c>
      <c r="H17" s="7" t="s">
        <v>2063</v>
      </c>
      <c r="I17" s="7" t="s">
        <v>2141</v>
      </c>
      <c r="J17" s="7" t="s">
        <v>2142</v>
      </c>
      <c r="K17" s="7"/>
      <c r="L17" s="7" t="s">
        <v>598</v>
      </c>
      <c r="M17" s="7"/>
      <c r="N17" s="7" t="s">
        <v>2143</v>
      </c>
      <c r="O17" s="7" t="s">
        <v>2144</v>
      </c>
    </row>
    <row r="18" customFormat="false" ht="79.85" hidden="false" customHeight="false" outlineLevel="0" collapsed="false">
      <c r="A18" s="7" t="s">
        <v>2145</v>
      </c>
      <c r="B18" s="7" t="s">
        <v>2137</v>
      </c>
      <c r="C18" s="7" t="s">
        <v>2146</v>
      </c>
      <c r="D18" s="7" t="s">
        <v>983</v>
      </c>
      <c r="E18" s="7" t="s">
        <v>983</v>
      </c>
      <c r="F18" s="7" t="s">
        <v>2147</v>
      </c>
      <c r="G18" s="7" t="s">
        <v>2148</v>
      </c>
      <c r="H18" s="7" t="s">
        <v>2063</v>
      </c>
      <c r="I18" s="7" t="s">
        <v>2149</v>
      </c>
      <c r="J18" s="7" t="s">
        <v>2150</v>
      </c>
      <c r="K18" s="7"/>
      <c r="L18" s="7" t="s">
        <v>627</v>
      </c>
      <c r="M18" s="7"/>
      <c r="N18" s="7" t="s">
        <v>2151</v>
      </c>
      <c r="O18" s="7" t="s">
        <v>2152</v>
      </c>
    </row>
    <row r="19" customFormat="false" ht="68.65" hidden="false" customHeight="false" outlineLevel="0" collapsed="false">
      <c r="A19" s="7" t="s">
        <v>2153</v>
      </c>
      <c r="B19" s="7" t="s">
        <v>2137</v>
      </c>
      <c r="C19" s="7" t="s">
        <v>2154</v>
      </c>
      <c r="D19" s="7"/>
      <c r="E19" s="7" t="s">
        <v>983</v>
      </c>
      <c r="F19" s="7" t="s">
        <v>2155</v>
      </c>
      <c r="G19" s="7" t="s">
        <v>2156</v>
      </c>
      <c r="H19" s="7" t="s">
        <v>2063</v>
      </c>
      <c r="I19" s="7" t="s">
        <v>2157</v>
      </c>
      <c r="J19" s="7" t="s">
        <v>2158</v>
      </c>
      <c r="K19" s="7"/>
      <c r="L19" s="7" t="s">
        <v>347</v>
      </c>
      <c r="M19" s="7"/>
      <c r="N19" s="7" t="s">
        <v>2159</v>
      </c>
      <c r="O19" s="7" t="s">
        <v>2160</v>
      </c>
    </row>
    <row r="20" customFormat="false" ht="68.65" hidden="false" customHeight="false" outlineLevel="0" collapsed="false">
      <c r="A20" s="7" t="s">
        <v>2161</v>
      </c>
      <c r="B20" s="7" t="s">
        <v>2137</v>
      </c>
      <c r="C20" s="7" t="s">
        <v>2162</v>
      </c>
      <c r="D20" s="7" t="s">
        <v>983</v>
      </c>
      <c r="E20" s="7" t="s">
        <v>983</v>
      </c>
      <c r="F20" s="7" t="s">
        <v>2163</v>
      </c>
      <c r="G20" s="7" t="s">
        <v>2164</v>
      </c>
      <c r="H20" s="7" t="s">
        <v>2063</v>
      </c>
      <c r="I20" s="7" t="s">
        <v>2165</v>
      </c>
      <c r="J20" s="7" t="s">
        <v>2166</v>
      </c>
      <c r="K20" s="7"/>
      <c r="L20" s="7" t="s">
        <v>347</v>
      </c>
      <c r="M20" s="7"/>
      <c r="N20" s="7" t="s">
        <v>2167</v>
      </c>
      <c r="O20" s="7" t="s">
        <v>2168</v>
      </c>
    </row>
    <row r="21" customFormat="false" ht="57.45" hidden="false" customHeight="false" outlineLevel="0" collapsed="false">
      <c r="A21" s="7" t="s">
        <v>2169</v>
      </c>
      <c r="B21" s="7" t="s">
        <v>2137</v>
      </c>
      <c r="C21" s="7" t="s">
        <v>2170</v>
      </c>
      <c r="D21" s="7"/>
      <c r="E21" s="7" t="s">
        <v>983</v>
      </c>
      <c r="F21" s="7" t="s">
        <v>2171</v>
      </c>
      <c r="G21" s="7" t="s">
        <v>2172</v>
      </c>
      <c r="H21" s="7" t="s">
        <v>2063</v>
      </c>
      <c r="I21" s="7" t="s">
        <v>2173</v>
      </c>
      <c r="J21" s="7" t="s">
        <v>689</v>
      </c>
      <c r="K21" s="7"/>
      <c r="L21" s="7" t="s">
        <v>250</v>
      </c>
      <c r="M21" s="7"/>
      <c r="N21" s="7" t="s">
        <v>2174</v>
      </c>
      <c r="O21" s="7" t="s">
        <v>2175</v>
      </c>
    </row>
    <row r="22" customFormat="false" ht="68.65" hidden="false" customHeight="false" outlineLevel="0" collapsed="false">
      <c r="A22" s="7" t="s">
        <v>2176</v>
      </c>
      <c r="B22" s="7" t="s">
        <v>2137</v>
      </c>
      <c r="C22" s="7" t="s">
        <v>2177</v>
      </c>
      <c r="D22" s="7" t="s">
        <v>2178</v>
      </c>
      <c r="E22" s="7" t="s">
        <v>2178</v>
      </c>
      <c r="F22" s="7" t="s">
        <v>2179</v>
      </c>
      <c r="G22" s="7" t="s">
        <v>2180</v>
      </c>
      <c r="H22" s="7" t="s">
        <v>2036</v>
      </c>
      <c r="I22" s="7" t="s">
        <v>2181</v>
      </c>
      <c r="J22" s="7"/>
      <c r="K22" s="7"/>
      <c r="L22" s="7" t="s">
        <v>2039</v>
      </c>
      <c r="M22" s="7" t="s">
        <v>2182</v>
      </c>
      <c r="N22" s="7" t="s">
        <v>2183</v>
      </c>
      <c r="O22" s="7" t="s">
        <v>2184</v>
      </c>
    </row>
    <row r="23" customFormat="false" ht="68.65" hidden="false" customHeight="false" outlineLevel="0" collapsed="false">
      <c r="A23" s="7" t="s">
        <v>2185</v>
      </c>
      <c r="B23" s="7" t="s">
        <v>2186</v>
      </c>
      <c r="C23" s="7" t="s">
        <v>2187</v>
      </c>
      <c r="D23" s="7" t="s">
        <v>599</v>
      </c>
      <c r="E23" s="7" t="s">
        <v>599</v>
      </c>
      <c r="F23" s="7" t="s">
        <v>2188</v>
      </c>
      <c r="G23" s="7" t="s">
        <v>2189</v>
      </c>
      <c r="H23" s="7" t="s">
        <v>2063</v>
      </c>
      <c r="I23" s="7" t="s">
        <v>2190</v>
      </c>
      <c r="J23" s="7" t="s">
        <v>2191</v>
      </c>
      <c r="K23" s="7"/>
      <c r="L23" s="7" t="s">
        <v>627</v>
      </c>
      <c r="M23" s="7"/>
      <c r="N23" s="7" t="s">
        <v>2192</v>
      </c>
      <c r="O23" s="7" t="s">
        <v>2193</v>
      </c>
    </row>
    <row r="24" customFormat="false" ht="68.65" hidden="false" customHeight="false" outlineLevel="0" collapsed="false">
      <c r="A24" s="7" t="s">
        <v>1568</v>
      </c>
      <c r="B24" s="7" t="s">
        <v>2186</v>
      </c>
      <c r="C24" s="7" t="s">
        <v>2194</v>
      </c>
      <c r="D24" s="7"/>
      <c r="E24" s="7" t="s">
        <v>2195</v>
      </c>
      <c r="F24" s="7" t="s">
        <v>2196</v>
      </c>
      <c r="G24" s="7" t="s">
        <v>2197</v>
      </c>
      <c r="H24" s="7" t="s">
        <v>2063</v>
      </c>
      <c r="I24" s="7" t="s">
        <v>2198</v>
      </c>
      <c r="J24" s="7" t="s">
        <v>2199</v>
      </c>
      <c r="K24" s="7"/>
      <c r="L24" s="7" t="s">
        <v>367</v>
      </c>
      <c r="M24" s="7"/>
      <c r="N24" s="7" t="s">
        <v>2200</v>
      </c>
      <c r="O24" s="7" t="s">
        <v>2201</v>
      </c>
    </row>
    <row r="25" customFormat="false" ht="57.45" hidden="false" customHeight="false" outlineLevel="0" collapsed="false">
      <c r="A25" s="7" t="s">
        <v>2202</v>
      </c>
      <c r="B25" s="7" t="s">
        <v>2203</v>
      </c>
      <c r="C25" s="7" t="s">
        <v>2204</v>
      </c>
      <c r="D25" s="7" t="s">
        <v>989</v>
      </c>
      <c r="E25" s="7"/>
      <c r="F25" s="7" t="s">
        <v>2205</v>
      </c>
      <c r="G25" s="7" t="s">
        <v>2206</v>
      </c>
      <c r="H25" s="7" t="s">
        <v>2063</v>
      </c>
      <c r="I25" s="7" t="s">
        <v>2207</v>
      </c>
      <c r="J25" s="7" t="s">
        <v>2208</v>
      </c>
      <c r="K25" s="7"/>
      <c r="L25" s="7" t="s">
        <v>627</v>
      </c>
      <c r="M25" s="7"/>
      <c r="N25" s="7" t="s">
        <v>2209</v>
      </c>
      <c r="O25" s="7" t="s">
        <v>2210</v>
      </c>
    </row>
    <row r="26" customFormat="false" ht="57.45" hidden="false" customHeight="false" outlineLevel="0" collapsed="false">
      <c r="A26" s="7" t="s">
        <v>2211</v>
      </c>
      <c r="B26" s="7" t="s">
        <v>2203</v>
      </c>
      <c r="C26" s="7" t="s">
        <v>2212</v>
      </c>
      <c r="D26" s="7" t="s">
        <v>1589</v>
      </c>
      <c r="E26" s="7" t="s">
        <v>2178</v>
      </c>
      <c r="F26" s="7" t="s">
        <v>2213</v>
      </c>
      <c r="G26" s="7" t="s">
        <v>2214</v>
      </c>
      <c r="H26" s="7" t="s">
        <v>2063</v>
      </c>
      <c r="I26" s="7" t="s">
        <v>2215</v>
      </c>
      <c r="J26" s="7" t="s">
        <v>2216</v>
      </c>
      <c r="K26" s="7"/>
      <c r="L26" s="7" t="s">
        <v>2039</v>
      </c>
      <c r="M26" s="7" t="s">
        <v>2217</v>
      </c>
      <c r="N26" s="7" t="s">
        <v>2218</v>
      </c>
      <c r="O26" s="7" t="s">
        <v>2219</v>
      </c>
    </row>
    <row r="27" customFormat="false" ht="68.65" hidden="false" customHeight="false" outlineLevel="0" collapsed="false">
      <c r="A27" s="7" t="s">
        <v>1205</v>
      </c>
      <c r="B27" s="7" t="s">
        <v>2203</v>
      </c>
      <c r="C27" s="7" t="s">
        <v>2220</v>
      </c>
      <c r="D27" s="7" t="s">
        <v>2221</v>
      </c>
      <c r="E27" s="7" t="s">
        <v>2221</v>
      </c>
      <c r="F27" s="7" t="s">
        <v>2222</v>
      </c>
      <c r="G27" s="7" t="s">
        <v>2223</v>
      </c>
      <c r="H27" s="7" t="s">
        <v>2063</v>
      </c>
      <c r="I27" s="7" t="s">
        <v>2224</v>
      </c>
      <c r="J27" s="7" t="s">
        <v>2225</v>
      </c>
      <c r="K27" s="7"/>
      <c r="L27" s="7" t="s">
        <v>2039</v>
      </c>
      <c r="M27" s="7"/>
      <c r="N27" s="7" t="s">
        <v>2226</v>
      </c>
      <c r="O27" s="7" t="s">
        <v>2227</v>
      </c>
    </row>
    <row r="28" customFormat="false" ht="57.45" hidden="false" customHeight="false" outlineLevel="0" collapsed="false">
      <c r="A28" s="7" t="s">
        <v>2228</v>
      </c>
      <c r="B28" s="7" t="s">
        <v>2203</v>
      </c>
      <c r="C28" s="7" t="s">
        <v>2229</v>
      </c>
      <c r="D28" s="7" t="s">
        <v>994</v>
      </c>
      <c r="E28" s="7" t="s">
        <v>2230</v>
      </c>
      <c r="F28" s="7" t="s">
        <v>2231</v>
      </c>
      <c r="G28" s="7" t="s">
        <v>2232</v>
      </c>
      <c r="H28" s="7" t="s">
        <v>2063</v>
      </c>
      <c r="I28" s="7" t="s">
        <v>2233</v>
      </c>
      <c r="J28" s="7" t="s">
        <v>2234</v>
      </c>
      <c r="K28" s="7"/>
      <c r="L28" s="7" t="s">
        <v>2039</v>
      </c>
      <c r="M28" s="7" t="s">
        <v>2235</v>
      </c>
      <c r="N28" s="7" t="s">
        <v>2236</v>
      </c>
      <c r="O28" s="7" t="s">
        <v>2237</v>
      </c>
    </row>
    <row r="29" customFormat="false" ht="57.45" hidden="false" customHeight="false" outlineLevel="0" collapsed="false">
      <c r="A29" s="7" t="s">
        <v>2238</v>
      </c>
      <c r="B29" s="7" t="s">
        <v>2203</v>
      </c>
      <c r="C29" s="7" t="s">
        <v>2239</v>
      </c>
      <c r="D29" s="7" t="s">
        <v>994</v>
      </c>
      <c r="E29" s="7" t="s">
        <v>2240</v>
      </c>
      <c r="F29" s="7" t="s">
        <v>2241</v>
      </c>
      <c r="G29" s="7" t="s">
        <v>2242</v>
      </c>
      <c r="H29" s="7" t="s">
        <v>2063</v>
      </c>
      <c r="I29" s="7" t="s">
        <v>2243</v>
      </c>
      <c r="J29" s="7" t="s">
        <v>2244</v>
      </c>
      <c r="K29" s="7"/>
      <c r="L29" s="7" t="s">
        <v>250</v>
      </c>
      <c r="M29" s="7"/>
      <c r="N29" s="7" t="s">
        <v>2245</v>
      </c>
      <c r="O29" s="7" t="s">
        <v>2246</v>
      </c>
    </row>
    <row r="30" customFormat="false" ht="57.45" hidden="false" customHeight="false" outlineLevel="0" collapsed="false">
      <c r="A30" s="7" t="s">
        <v>2247</v>
      </c>
      <c r="B30" s="7" t="s">
        <v>2248</v>
      </c>
      <c r="C30" s="7" t="s">
        <v>2249</v>
      </c>
      <c r="D30" s="7" t="s">
        <v>820</v>
      </c>
      <c r="E30" s="7" t="s">
        <v>820</v>
      </c>
      <c r="F30" s="7" t="s">
        <v>2250</v>
      </c>
      <c r="G30" s="7" t="s">
        <v>2251</v>
      </c>
      <c r="H30" s="7" t="s">
        <v>2063</v>
      </c>
      <c r="I30" s="7" t="s">
        <v>2252</v>
      </c>
      <c r="J30" s="7" t="s">
        <v>2253</v>
      </c>
      <c r="K30" s="7"/>
      <c r="L30" s="7" t="s">
        <v>2039</v>
      </c>
      <c r="M30" s="7"/>
      <c r="N30" s="7" t="s">
        <v>2254</v>
      </c>
      <c r="O30" s="7" t="s">
        <v>2255</v>
      </c>
    </row>
    <row r="31" customFormat="false" ht="102.2" hidden="false" customHeight="false" outlineLevel="0" collapsed="false">
      <c r="A31" s="7" t="s">
        <v>2256</v>
      </c>
      <c r="B31" s="7" t="s">
        <v>2248</v>
      </c>
      <c r="C31" s="7" t="s">
        <v>2257</v>
      </c>
      <c r="D31" s="7" t="s">
        <v>825</v>
      </c>
      <c r="E31" s="7" t="s">
        <v>825</v>
      </c>
      <c r="F31" s="7" t="s">
        <v>2258</v>
      </c>
      <c r="G31" s="7" t="s">
        <v>2259</v>
      </c>
      <c r="H31" s="7" t="s">
        <v>2063</v>
      </c>
      <c r="I31" s="7" t="s">
        <v>2260</v>
      </c>
      <c r="J31" s="7" t="s">
        <v>2261</v>
      </c>
      <c r="K31" s="7"/>
      <c r="L31" s="7" t="s">
        <v>2039</v>
      </c>
      <c r="M31" s="7"/>
      <c r="N31" s="7" t="s">
        <v>2262</v>
      </c>
      <c r="O31" s="7" t="s">
        <v>2263</v>
      </c>
    </row>
    <row r="33" customFormat="false" ht="15" hidden="false" customHeight="false" outlineLevel="0" collapsed="false">
      <c r="F33" s="11" t="s">
        <v>2017</v>
      </c>
      <c r="G33" s="11" t="n">
        <f aca="false">COUNTA(A5:A31)</f>
        <v>27</v>
      </c>
    </row>
  </sheetData>
  <autoFilter ref="A4:O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200"/>
    <pageSetUpPr fitToPage="false"/>
  </sheetPr>
  <dimension ref="A1: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28"/>
    <col collapsed="false" customWidth="true" hidden="false" outlineLevel="0" max="5" min="4" style="0" width="9"/>
    <col collapsed="false" customWidth="true" hidden="false" outlineLevel="0" max="6" min="6" style="0" width="70"/>
    <col collapsed="false" customWidth="true" hidden="false" outlineLevel="0" max="7" min="7" style="0" width="55"/>
    <col collapsed="false" customWidth="true" hidden="false" outlineLevel="0" max="8" min="8" style="0" width="15"/>
    <col collapsed="false" customWidth="true" hidden="false" outlineLevel="0" max="9" min="9" style="0" width="50"/>
    <col collapsed="false" customWidth="true" hidden="false" outlineLevel="0" max="10" min="10" style="0" width="36"/>
    <col collapsed="false" customWidth="true" hidden="false" outlineLevel="0" max="11" min="11" style="0" width="30"/>
    <col collapsed="false" customWidth="true" hidden="false" outlineLevel="0" max="12" min="12" style="0" width="20"/>
    <col collapsed="false" customWidth="true" hidden="false" outlineLevel="0" max="13" min="13" style="0" width="40"/>
    <col collapsed="false" customWidth="true" hidden="false" outlineLevel="0" max="14" min="14" style="0" width="30"/>
    <col collapsed="false" customWidth="true" hidden="false" outlineLevel="0" max="15" min="15" style="0" width="12"/>
  </cols>
  <sheetData>
    <row r="1" customFormat="false" ht="17.35" hidden="false" customHeight="false" outlineLevel="0" collapsed="false">
      <c r="A1" s="1" t="s">
        <v>2264</v>
      </c>
    </row>
    <row r="2" customFormat="false" ht="15" hidden="false" customHeight="false" outlineLevel="0" collapsed="false">
      <c r="A2" s="2" t="s">
        <v>2265</v>
      </c>
    </row>
    <row r="4" customFormat="false" ht="31.5" hidden="false" customHeight="true" outlineLevel="0" collapsed="false">
      <c r="A4" s="6" t="s">
        <v>2020</v>
      </c>
      <c r="B4" s="6" t="s">
        <v>2021</v>
      </c>
      <c r="C4" s="6" t="s">
        <v>2022</v>
      </c>
      <c r="D4" s="6" t="s">
        <v>2023</v>
      </c>
      <c r="E4" s="6" t="s">
        <v>2024</v>
      </c>
      <c r="F4" s="6" t="s">
        <v>120</v>
      </c>
      <c r="G4" s="6" t="s">
        <v>2025</v>
      </c>
      <c r="H4" s="6" t="s">
        <v>2026</v>
      </c>
      <c r="I4" s="6" t="s">
        <v>2027</v>
      </c>
      <c r="J4" s="6" t="s">
        <v>2028</v>
      </c>
      <c r="K4" s="6" t="s">
        <v>2029</v>
      </c>
      <c r="L4" s="6" t="s">
        <v>127</v>
      </c>
      <c r="M4" s="6" t="s">
        <v>2030</v>
      </c>
      <c r="N4" s="6" t="s">
        <v>2031</v>
      </c>
      <c r="O4" s="6" t="s">
        <v>126</v>
      </c>
    </row>
    <row r="5" customFormat="false" ht="35.05" hidden="false" customHeight="false" outlineLevel="0" collapsed="false">
      <c r="A5" s="7" t="s">
        <v>412</v>
      </c>
      <c r="B5" s="7" t="s">
        <v>2032</v>
      </c>
      <c r="C5" s="7" t="s">
        <v>2266</v>
      </c>
      <c r="D5" s="7" t="s">
        <v>2267</v>
      </c>
      <c r="E5" s="7" t="s">
        <v>563</v>
      </c>
      <c r="F5" s="7" t="s">
        <v>2268</v>
      </c>
      <c r="G5" s="7" t="s">
        <v>2269</v>
      </c>
      <c r="H5" s="7" t="s">
        <v>2270</v>
      </c>
      <c r="I5" s="7" t="s">
        <v>2271</v>
      </c>
      <c r="J5" s="7" t="s">
        <v>2272</v>
      </c>
      <c r="K5" s="7" t="s">
        <v>2273</v>
      </c>
      <c r="L5" s="7" t="s">
        <v>250</v>
      </c>
      <c r="M5" s="7"/>
      <c r="N5" s="7" t="s">
        <v>2274</v>
      </c>
      <c r="O5" s="7" t="s">
        <v>2275</v>
      </c>
    </row>
    <row r="6" customFormat="false" ht="35.05" hidden="false" customHeight="false" outlineLevel="0" collapsed="false">
      <c r="A6" s="7" t="s">
        <v>368</v>
      </c>
      <c r="B6" s="7" t="s">
        <v>2032</v>
      </c>
      <c r="C6" s="7" t="s">
        <v>2276</v>
      </c>
      <c r="D6" s="7" t="s">
        <v>2277</v>
      </c>
      <c r="E6" s="7" t="s">
        <v>2070</v>
      </c>
      <c r="F6" s="7" t="s">
        <v>2278</v>
      </c>
      <c r="G6" s="7" t="s">
        <v>2279</v>
      </c>
      <c r="H6" s="7" t="s">
        <v>2270</v>
      </c>
      <c r="I6" s="7" t="s">
        <v>2280</v>
      </c>
      <c r="J6" s="7" t="s">
        <v>2281</v>
      </c>
      <c r="K6" s="7" t="s">
        <v>363</v>
      </c>
      <c r="L6" s="7" t="s">
        <v>367</v>
      </c>
      <c r="M6" s="7"/>
      <c r="N6" s="7"/>
      <c r="O6" s="7" t="s">
        <v>2282</v>
      </c>
    </row>
    <row r="7" customFormat="false" ht="35.05" hidden="false" customHeight="false" outlineLevel="0" collapsed="false">
      <c r="A7" s="7" t="s">
        <v>1364</v>
      </c>
      <c r="B7" s="7" t="s">
        <v>2078</v>
      </c>
      <c r="C7" s="7" t="s">
        <v>2283</v>
      </c>
      <c r="D7" s="7" t="s">
        <v>1466</v>
      </c>
      <c r="E7" s="7" t="s">
        <v>1466</v>
      </c>
      <c r="F7" s="7" t="s">
        <v>2284</v>
      </c>
      <c r="G7" s="7" t="s">
        <v>2285</v>
      </c>
      <c r="H7" s="7" t="s">
        <v>2270</v>
      </c>
      <c r="I7" s="7"/>
      <c r="J7" s="7" t="s">
        <v>2286</v>
      </c>
      <c r="K7" s="7"/>
      <c r="L7" s="7" t="s">
        <v>250</v>
      </c>
      <c r="M7" s="7"/>
      <c r="N7" s="7"/>
      <c r="O7" s="7" t="s">
        <v>2287</v>
      </c>
    </row>
    <row r="8" customFormat="false" ht="35.05" hidden="false" customHeight="false" outlineLevel="0" collapsed="false">
      <c r="A8" s="7" t="s">
        <v>1057</v>
      </c>
      <c r="B8" s="7" t="s">
        <v>2078</v>
      </c>
      <c r="C8" s="7" t="s">
        <v>2288</v>
      </c>
      <c r="D8" s="7" t="s">
        <v>1466</v>
      </c>
      <c r="E8" s="7" t="s">
        <v>2080</v>
      </c>
      <c r="F8" s="7" t="s">
        <v>2289</v>
      </c>
      <c r="G8" s="7" t="s">
        <v>2290</v>
      </c>
      <c r="H8" s="7" t="s">
        <v>2270</v>
      </c>
      <c r="I8" s="7"/>
      <c r="J8" s="7" t="s">
        <v>2291</v>
      </c>
      <c r="K8" s="7"/>
      <c r="L8" s="7" t="s">
        <v>250</v>
      </c>
      <c r="M8" s="7"/>
      <c r="N8" s="7"/>
      <c r="O8" s="7" t="s">
        <v>2292</v>
      </c>
    </row>
    <row r="9" customFormat="false" ht="23.85" hidden="false" customHeight="false" outlineLevel="0" collapsed="false">
      <c r="A9" s="7" t="s">
        <v>2293</v>
      </c>
      <c r="B9" s="7" t="s">
        <v>2078</v>
      </c>
      <c r="C9" s="7" t="s">
        <v>2294</v>
      </c>
      <c r="D9" s="7" t="s">
        <v>2081</v>
      </c>
      <c r="E9" s="7" t="s">
        <v>2295</v>
      </c>
      <c r="F9" s="7" t="s">
        <v>2296</v>
      </c>
      <c r="G9" s="7" t="s">
        <v>2297</v>
      </c>
      <c r="H9" s="7" t="s">
        <v>2270</v>
      </c>
      <c r="I9" s="7"/>
      <c r="J9" s="7" t="s">
        <v>2298</v>
      </c>
      <c r="K9" s="7"/>
      <c r="L9" s="7" t="s">
        <v>250</v>
      </c>
      <c r="M9" s="7"/>
      <c r="N9" s="7"/>
      <c r="O9" s="7" t="s">
        <v>2299</v>
      </c>
    </row>
    <row r="10" customFormat="false" ht="35.05" hidden="false" customHeight="false" outlineLevel="0" collapsed="false">
      <c r="A10" s="7" t="s">
        <v>589</v>
      </c>
      <c r="B10" s="7" t="s">
        <v>2078</v>
      </c>
      <c r="C10" s="7" t="s">
        <v>2300</v>
      </c>
      <c r="D10" s="7" t="s">
        <v>703</v>
      </c>
      <c r="E10" s="7" t="s">
        <v>703</v>
      </c>
      <c r="F10" s="7" t="s">
        <v>2301</v>
      </c>
      <c r="G10" s="7" t="s">
        <v>2302</v>
      </c>
      <c r="H10" s="7" t="s">
        <v>2270</v>
      </c>
      <c r="I10" s="7"/>
      <c r="J10" s="7" t="s">
        <v>2303</v>
      </c>
      <c r="K10" s="7"/>
      <c r="L10" s="7" t="s">
        <v>347</v>
      </c>
      <c r="M10" s="7"/>
      <c r="N10" s="7"/>
      <c r="O10" s="7" t="s">
        <v>2304</v>
      </c>
    </row>
    <row r="11" customFormat="false" ht="35.05" hidden="false" customHeight="false" outlineLevel="0" collapsed="false">
      <c r="A11" s="7" t="s">
        <v>570</v>
      </c>
      <c r="B11" s="7" t="s">
        <v>2078</v>
      </c>
      <c r="C11" s="7" t="s">
        <v>2305</v>
      </c>
      <c r="D11" s="7" t="s">
        <v>2295</v>
      </c>
      <c r="E11" s="7" t="s">
        <v>2295</v>
      </c>
      <c r="F11" s="7" t="s">
        <v>2306</v>
      </c>
      <c r="G11" s="7" t="s">
        <v>2307</v>
      </c>
      <c r="H11" s="7" t="s">
        <v>2270</v>
      </c>
      <c r="I11" s="7"/>
      <c r="J11" s="7" t="s">
        <v>2308</v>
      </c>
      <c r="K11" s="7"/>
      <c r="L11" s="7" t="s">
        <v>250</v>
      </c>
      <c r="M11" s="7"/>
      <c r="N11" s="7" t="s">
        <v>2309</v>
      </c>
      <c r="O11" s="7" t="s">
        <v>2310</v>
      </c>
    </row>
    <row r="12" customFormat="false" ht="23.85" hidden="false" customHeight="false" outlineLevel="0" collapsed="false">
      <c r="A12" s="7" t="s">
        <v>1454</v>
      </c>
      <c r="B12" s="7" t="s">
        <v>2137</v>
      </c>
      <c r="C12" s="7" t="s">
        <v>2311</v>
      </c>
      <c r="D12" s="7" t="s">
        <v>583</v>
      </c>
      <c r="E12" s="7" t="s">
        <v>583</v>
      </c>
      <c r="F12" s="7" t="s">
        <v>2312</v>
      </c>
      <c r="G12" s="7" t="s">
        <v>2313</v>
      </c>
      <c r="H12" s="7" t="s">
        <v>2270</v>
      </c>
      <c r="I12" s="7"/>
      <c r="J12" s="7" t="s">
        <v>2314</v>
      </c>
      <c r="K12" s="7"/>
      <c r="L12" s="7" t="s">
        <v>250</v>
      </c>
      <c r="M12" s="7"/>
      <c r="N12" s="7"/>
      <c r="O12" s="7" t="s">
        <v>2315</v>
      </c>
    </row>
    <row r="13" customFormat="false" ht="57.45" hidden="false" customHeight="false" outlineLevel="0" collapsed="false">
      <c r="A13" s="7" t="s">
        <v>1154</v>
      </c>
      <c r="B13" s="7" t="s">
        <v>2137</v>
      </c>
      <c r="C13" s="7" t="s">
        <v>2316</v>
      </c>
      <c r="D13" s="7" t="s">
        <v>1517</v>
      </c>
      <c r="E13" s="7" t="s">
        <v>988</v>
      </c>
      <c r="F13" s="7" t="s">
        <v>2317</v>
      </c>
      <c r="G13" s="7" t="s">
        <v>2318</v>
      </c>
      <c r="H13" s="7" t="s">
        <v>2270</v>
      </c>
      <c r="I13" s="7"/>
      <c r="J13" s="7" t="s">
        <v>2319</v>
      </c>
      <c r="K13" s="7"/>
      <c r="L13" s="7" t="s">
        <v>598</v>
      </c>
      <c r="M13" s="7"/>
      <c r="N13" s="7" t="s">
        <v>2320</v>
      </c>
      <c r="O13" s="7" t="s">
        <v>2321</v>
      </c>
    </row>
    <row r="14" customFormat="false" ht="23.85" hidden="false" customHeight="false" outlineLevel="0" collapsed="false">
      <c r="A14" s="7" t="s">
        <v>1557</v>
      </c>
      <c r="B14" s="7" t="s">
        <v>2137</v>
      </c>
      <c r="C14" s="7" t="s">
        <v>2322</v>
      </c>
      <c r="D14" s="7" t="s">
        <v>988</v>
      </c>
      <c r="E14" s="7" t="s">
        <v>988</v>
      </c>
      <c r="F14" s="7" t="s">
        <v>2323</v>
      </c>
      <c r="G14" s="7" t="s">
        <v>2324</v>
      </c>
      <c r="H14" s="7" t="s">
        <v>2270</v>
      </c>
      <c r="I14" s="7"/>
      <c r="J14" s="7" t="s">
        <v>2325</v>
      </c>
      <c r="K14" s="7"/>
      <c r="L14" s="7" t="s">
        <v>523</v>
      </c>
      <c r="M14" s="7"/>
      <c r="N14" s="7"/>
      <c r="O14" s="7" t="s">
        <v>2326</v>
      </c>
    </row>
    <row r="15" customFormat="false" ht="46.25" hidden="false" customHeight="false" outlineLevel="0" collapsed="false">
      <c r="A15" s="7" t="s">
        <v>609</v>
      </c>
      <c r="B15" s="7" t="s">
        <v>2137</v>
      </c>
      <c r="C15" s="7" t="s">
        <v>2327</v>
      </c>
      <c r="D15" s="7" t="s">
        <v>1559</v>
      </c>
      <c r="E15" s="7" t="s">
        <v>1559</v>
      </c>
      <c r="F15" s="7" t="s">
        <v>2328</v>
      </c>
      <c r="G15" s="7" t="s">
        <v>2329</v>
      </c>
      <c r="H15" s="7" t="s">
        <v>2270</v>
      </c>
      <c r="I15" s="7"/>
      <c r="J15" s="7" t="s">
        <v>2330</v>
      </c>
      <c r="K15" s="7"/>
      <c r="L15" s="7" t="s">
        <v>523</v>
      </c>
      <c r="M15" s="7"/>
      <c r="N15" s="7"/>
      <c r="O15" s="7" t="s">
        <v>2331</v>
      </c>
    </row>
    <row r="16" customFormat="false" ht="35.05" hidden="false" customHeight="false" outlineLevel="0" collapsed="false">
      <c r="A16" s="7" t="s">
        <v>1593</v>
      </c>
      <c r="B16" s="7" t="s">
        <v>2186</v>
      </c>
      <c r="C16" s="7" t="s">
        <v>2332</v>
      </c>
      <c r="D16" s="7" t="s">
        <v>797</v>
      </c>
      <c r="E16" s="7"/>
      <c r="F16" s="7" t="s">
        <v>2333</v>
      </c>
      <c r="G16" s="7" t="s">
        <v>2334</v>
      </c>
      <c r="H16" s="7" t="s">
        <v>2270</v>
      </c>
      <c r="I16" s="7"/>
      <c r="J16" s="7" t="s">
        <v>2335</v>
      </c>
      <c r="K16" s="7"/>
      <c r="L16" s="7" t="s">
        <v>627</v>
      </c>
      <c r="M16" s="7"/>
      <c r="N16" s="7"/>
      <c r="O16" s="7" t="s">
        <v>2336</v>
      </c>
    </row>
    <row r="17" customFormat="false" ht="57.45" hidden="false" customHeight="false" outlineLevel="0" collapsed="false">
      <c r="A17" s="7" t="s">
        <v>1211</v>
      </c>
      <c r="B17" s="7" t="s">
        <v>2186</v>
      </c>
      <c r="C17" s="7" t="s">
        <v>2337</v>
      </c>
      <c r="D17" s="7"/>
      <c r="E17" s="7" t="s">
        <v>797</v>
      </c>
      <c r="F17" s="7" t="s">
        <v>2338</v>
      </c>
      <c r="G17" s="7" t="s">
        <v>2339</v>
      </c>
      <c r="H17" s="7" t="s">
        <v>2270</v>
      </c>
      <c r="I17" s="7"/>
      <c r="J17" s="7" t="s">
        <v>2340</v>
      </c>
      <c r="K17" s="7"/>
      <c r="L17" s="7" t="s">
        <v>367</v>
      </c>
      <c r="M17" s="7"/>
      <c r="N17" s="7"/>
      <c r="O17" s="7" t="s">
        <v>2341</v>
      </c>
    </row>
    <row r="18" customFormat="false" ht="35.05" hidden="false" customHeight="false" outlineLevel="0" collapsed="false">
      <c r="A18" s="7" t="s">
        <v>1188</v>
      </c>
      <c r="B18" s="7" t="s">
        <v>2186</v>
      </c>
      <c r="C18" s="7" t="s">
        <v>2342</v>
      </c>
      <c r="D18" s="7"/>
      <c r="E18" s="7" t="s">
        <v>801</v>
      </c>
      <c r="F18" s="7" t="s">
        <v>2343</v>
      </c>
      <c r="G18" s="7" t="s">
        <v>2344</v>
      </c>
      <c r="H18" s="7" t="s">
        <v>2270</v>
      </c>
      <c r="I18" s="7"/>
      <c r="J18" s="7" t="s">
        <v>2345</v>
      </c>
      <c r="K18" s="7"/>
      <c r="L18" s="7" t="s">
        <v>627</v>
      </c>
      <c r="M18" s="7"/>
      <c r="N18" s="7"/>
      <c r="O18" s="7" t="s">
        <v>2346</v>
      </c>
    </row>
    <row r="19" customFormat="false" ht="57.45" hidden="false" customHeight="false" outlineLevel="0" collapsed="false">
      <c r="A19" s="7" t="s">
        <v>1150</v>
      </c>
      <c r="B19" s="7" t="s">
        <v>2186</v>
      </c>
      <c r="C19" s="7" t="s">
        <v>2347</v>
      </c>
      <c r="D19" s="7"/>
      <c r="E19" s="7" t="s">
        <v>1126</v>
      </c>
      <c r="F19" s="7" t="s">
        <v>2348</v>
      </c>
      <c r="G19" s="7" t="s">
        <v>2349</v>
      </c>
      <c r="H19" s="7" t="s">
        <v>2270</v>
      </c>
      <c r="I19" s="7"/>
      <c r="J19" s="7" t="s">
        <v>2350</v>
      </c>
      <c r="K19" s="7"/>
      <c r="L19" s="7" t="s">
        <v>627</v>
      </c>
      <c r="M19" s="7"/>
      <c r="N19" s="7" t="s">
        <v>2351</v>
      </c>
      <c r="O19" s="7" t="s">
        <v>2352</v>
      </c>
    </row>
    <row r="20" customFormat="false" ht="23.85" hidden="false" customHeight="false" outlineLevel="0" collapsed="false">
      <c r="A20" s="7" t="s">
        <v>1228</v>
      </c>
      <c r="B20" s="7" t="s">
        <v>2186</v>
      </c>
      <c r="C20" s="7" t="s">
        <v>2353</v>
      </c>
      <c r="D20" s="7"/>
      <c r="E20" s="7" t="s">
        <v>2354</v>
      </c>
      <c r="F20" s="7" t="s">
        <v>2355</v>
      </c>
      <c r="G20" s="7" t="s">
        <v>2356</v>
      </c>
      <c r="H20" s="7" t="s">
        <v>2270</v>
      </c>
      <c r="I20" s="7"/>
      <c r="J20" s="7" t="s">
        <v>2357</v>
      </c>
      <c r="K20" s="7"/>
      <c r="L20" s="7" t="s">
        <v>367</v>
      </c>
      <c r="M20" s="7"/>
      <c r="N20" s="7"/>
      <c r="O20" s="7" t="s">
        <v>2358</v>
      </c>
    </row>
    <row r="21" customFormat="false" ht="35.05" hidden="false" customHeight="false" outlineLevel="0" collapsed="false">
      <c r="A21" s="7" t="s">
        <v>333</v>
      </c>
      <c r="B21" s="7" t="s">
        <v>2186</v>
      </c>
      <c r="C21" s="7" t="s">
        <v>2359</v>
      </c>
      <c r="D21" s="7"/>
      <c r="E21" s="7" t="s">
        <v>2360</v>
      </c>
      <c r="F21" s="7" t="s">
        <v>2361</v>
      </c>
      <c r="G21" s="7" t="s">
        <v>2362</v>
      </c>
      <c r="H21" s="7" t="s">
        <v>2270</v>
      </c>
      <c r="I21" s="7"/>
      <c r="J21" s="7" t="s">
        <v>2363</v>
      </c>
      <c r="K21" s="7" t="s">
        <v>2364</v>
      </c>
      <c r="L21" s="7" t="s">
        <v>347</v>
      </c>
      <c r="M21" s="7"/>
      <c r="N21" s="7"/>
      <c r="O21" s="7" t="s">
        <v>2365</v>
      </c>
    </row>
    <row r="22" customFormat="false" ht="35.05" hidden="false" customHeight="false" outlineLevel="0" collapsed="false">
      <c r="A22" s="7" t="s">
        <v>1849</v>
      </c>
      <c r="B22" s="7" t="s">
        <v>2186</v>
      </c>
      <c r="C22" s="7" t="s">
        <v>2366</v>
      </c>
      <c r="D22" s="7"/>
      <c r="E22" s="7" t="s">
        <v>2367</v>
      </c>
      <c r="F22" s="7" t="s">
        <v>2368</v>
      </c>
      <c r="G22" s="7" t="s">
        <v>2369</v>
      </c>
      <c r="H22" s="7" t="s">
        <v>2270</v>
      </c>
      <c r="I22" s="7"/>
      <c r="J22" s="7" t="s">
        <v>2370</v>
      </c>
      <c r="K22" s="7"/>
      <c r="L22" s="7" t="s">
        <v>367</v>
      </c>
      <c r="M22" s="7"/>
      <c r="N22" s="7"/>
      <c r="O22" s="7" t="s">
        <v>2371</v>
      </c>
    </row>
    <row r="23" customFormat="false" ht="46.25" hidden="false" customHeight="false" outlineLevel="0" collapsed="false">
      <c r="A23" s="7" t="s">
        <v>618</v>
      </c>
      <c r="B23" s="7" t="s">
        <v>2186</v>
      </c>
      <c r="C23" s="7" t="s">
        <v>2372</v>
      </c>
      <c r="D23" s="7" t="s">
        <v>801</v>
      </c>
      <c r="E23" s="7" t="s">
        <v>2373</v>
      </c>
      <c r="F23" s="7" t="s">
        <v>2374</v>
      </c>
      <c r="G23" s="7" t="s">
        <v>2375</v>
      </c>
      <c r="H23" s="7" t="s">
        <v>2270</v>
      </c>
      <c r="I23" s="7"/>
      <c r="J23" s="7" t="s">
        <v>2376</v>
      </c>
      <c r="K23" s="7"/>
      <c r="L23" s="7" t="s">
        <v>523</v>
      </c>
      <c r="M23" s="7"/>
      <c r="N23" s="7" t="s">
        <v>2377</v>
      </c>
      <c r="O23" s="7" t="s">
        <v>2378</v>
      </c>
    </row>
    <row r="24" customFormat="false" ht="57.45" hidden="false" customHeight="false" outlineLevel="0" collapsed="false">
      <c r="A24" s="7" t="s">
        <v>1267</v>
      </c>
      <c r="B24" s="7" t="s">
        <v>2186</v>
      </c>
      <c r="C24" s="7" t="s">
        <v>2379</v>
      </c>
      <c r="D24" s="7" t="s">
        <v>1126</v>
      </c>
      <c r="E24" s="7" t="s">
        <v>2380</v>
      </c>
      <c r="F24" s="7" t="s">
        <v>2381</v>
      </c>
      <c r="G24" s="7" t="s">
        <v>2382</v>
      </c>
      <c r="H24" s="7" t="s">
        <v>2270</v>
      </c>
      <c r="I24" s="7"/>
      <c r="J24" s="7" t="s">
        <v>2383</v>
      </c>
      <c r="K24" s="7"/>
      <c r="L24" s="7" t="s">
        <v>627</v>
      </c>
      <c r="M24" s="7"/>
      <c r="N24" s="7"/>
      <c r="O24" s="7" t="s">
        <v>2384</v>
      </c>
    </row>
    <row r="25" customFormat="false" ht="35.05" hidden="false" customHeight="false" outlineLevel="0" collapsed="false">
      <c r="A25" s="7" t="s">
        <v>1287</v>
      </c>
      <c r="B25" s="7" t="s">
        <v>2203</v>
      </c>
      <c r="C25" s="7" t="s">
        <v>2385</v>
      </c>
      <c r="D25" s="7" t="s">
        <v>638</v>
      </c>
      <c r="E25" s="7" t="s">
        <v>608</v>
      </c>
      <c r="F25" s="7" t="s">
        <v>2386</v>
      </c>
      <c r="G25" s="7" t="s">
        <v>2387</v>
      </c>
      <c r="H25" s="7" t="s">
        <v>2270</v>
      </c>
      <c r="I25" s="7"/>
      <c r="J25" s="7" t="s">
        <v>2388</v>
      </c>
      <c r="K25" s="7"/>
      <c r="L25" s="7" t="s">
        <v>627</v>
      </c>
      <c r="M25" s="7"/>
      <c r="N25" s="7"/>
      <c r="O25" s="7" t="s">
        <v>2389</v>
      </c>
    </row>
    <row r="26" customFormat="false" ht="23.85" hidden="false" customHeight="false" outlineLevel="0" collapsed="false">
      <c r="A26" s="7" t="s">
        <v>2390</v>
      </c>
      <c r="B26" s="7" t="s">
        <v>2203</v>
      </c>
      <c r="C26" s="7" t="s">
        <v>2391</v>
      </c>
      <c r="D26" s="7" t="s">
        <v>990</v>
      </c>
      <c r="E26" s="7" t="s">
        <v>608</v>
      </c>
      <c r="F26" s="7" t="s">
        <v>2392</v>
      </c>
      <c r="G26" s="7" t="s">
        <v>2393</v>
      </c>
      <c r="H26" s="7" t="s">
        <v>2270</v>
      </c>
      <c r="I26" s="7"/>
      <c r="J26" s="7" t="s">
        <v>2394</v>
      </c>
      <c r="K26" s="7"/>
      <c r="L26" s="7" t="s">
        <v>627</v>
      </c>
      <c r="M26" s="7"/>
      <c r="N26" s="7"/>
      <c r="O26" s="7" t="s">
        <v>2395</v>
      </c>
    </row>
    <row r="27" customFormat="false" ht="35.05" hidden="false" customHeight="false" outlineLevel="0" collapsed="false">
      <c r="A27" s="7" t="s">
        <v>2396</v>
      </c>
      <c r="B27" s="7" t="s">
        <v>2203</v>
      </c>
      <c r="C27" s="7" t="s">
        <v>2397</v>
      </c>
      <c r="D27" s="7" t="s">
        <v>991</v>
      </c>
      <c r="E27" s="7" t="s">
        <v>2398</v>
      </c>
      <c r="F27" s="7" t="s">
        <v>2399</v>
      </c>
      <c r="G27" s="7" t="s">
        <v>2400</v>
      </c>
      <c r="H27" s="7" t="s">
        <v>2270</v>
      </c>
      <c r="I27" s="7"/>
      <c r="J27" s="7" t="s">
        <v>2401</v>
      </c>
      <c r="K27" s="7"/>
      <c r="L27" s="7" t="s">
        <v>250</v>
      </c>
      <c r="M27" s="7"/>
      <c r="N27" s="7"/>
      <c r="O27" s="7" t="s">
        <v>2402</v>
      </c>
    </row>
    <row r="28" customFormat="false" ht="23.85" hidden="false" customHeight="false" outlineLevel="0" collapsed="false">
      <c r="A28" s="7" t="s">
        <v>2403</v>
      </c>
      <c r="B28" s="7" t="s">
        <v>2203</v>
      </c>
      <c r="C28" s="7" t="s">
        <v>2404</v>
      </c>
      <c r="D28" s="7"/>
      <c r="E28" s="7" t="s">
        <v>2398</v>
      </c>
      <c r="F28" s="7" t="s">
        <v>2405</v>
      </c>
      <c r="G28" s="7" t="s">
        <v>2406</v>
      </c>
      <c r="H28" s="7" t="s">
        <v>2270</v>
      </c>
      <c r="I28" s="7"/>
      <c r="J28" s="7" t="s">
        <v>2407</v>
      </c>
      <c r="K28" s="7"/>
      <c r="L28" s="7" t="s">
        <v>250</v>
      </c>
      <c r="M28" s="7"/>
      <c r="N28" s="7"/>
      <c r="O28" s="7" t="s">
        <v>2408</v>
      </c>
    </row>
    <row r="30" customFormat="false" ht="15" hidden="false" customHeight="false" outlineLevel="0" collapsed="false">
      <c r="F30" s="11" t="s">
        <v>2017</v>
      </c>
      <c r="G30" s="11" t="n">
        <f aca="false">COUNTA(A5:A28)</f>
        <v>24</v>
      </c>
    </row>
  </sheetData>
  <autoFilter ref="A4:O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C8E"/>
    <pageSetUpPr fitToPage="false"/>
  </sheetPr>
  <dimension ref="A1:S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10"/>
    <col collapsed="false" customWidth="true" hidden="false" outlineLevel="0" max="4" min="4" style="0" width="22"/>
    <col collapsed="false" customWidth="true" hidden="false" outlineLevel="0" max="5" min="5" style="0" width="60"/>
    <col collapsed="false" customWidth="true" hidden="false" outlineLevel="0" max="6" min="6" style="0" width="50"/>
    <col collapsed="false" customWidth="true" hidden="false" outlineLevel="0" max="7" min="7" style="0" width="22"/>
    <col collapsed="false" customWidth="true" hidden="false" outlineLevel="0" max="8" min="8" style="0" width="28"/>
    <col collapsed="false" customWidth="true" hidden="false" outlineLevel="0" max="9" min="9" style="0" width="50"/>
    <col collapsed="false" customWidth="true" hidden="false" outlineLevel="0" max="12" min="10" style="0" width="40"/>
    <col collapsed="false" customWidth="true" hidden="false" outlineLevel="0" max="14" min="13" style="0" width="50"/>
    <col collapsed="false" customWidth="true" hidden="false" outlineLevel="0" max="15" min="15" style="0" width="36"/>
    <col collapsed="false" customWidth="true" hidden="false" outlineLevel="0" max="17" min="16" style="0" width="40"/>
    <col collapsed="false" customWidth="true" hidden="false" outlineLevel="0" max="18" min="18" style="0" width="22"/>
    <col collapsed="false" customWidth="true" hidden="false" outlineLevel="0" max="19" min="19" style="0" width="11"/>
  </cols>
  <sheetData>
    <row r="1" customFormat="false" ht="17.35" hidden="false" customHeight="false" outlineLevel="0" collapsed="false">
      <c r="A1" s="1" t="s">
        <v>2409</v>
      </c>
    </row>
    <row r="2" customFormat="false" ht="15" hidden="false" customHeight="false" outlineLevel="0" collapsed="false">
      <c r="A2" s="2" t="s">
        <v>2410</v>
      </c>
    </row>
    <row r="4" customFormat="false" ht="31.5" hidden="false" customHeight="true" outlineLevel="0" collapsed="false">
      <c r="A4" s="6" t="s">
        <v>2411</v>
      </c>
      <c r="B4" s="6" t="s">
        <v>2412</v>
      </c>
      <c r="C4" s="6" t="s">
        <v>2413</v>
      </c>
      <c r="D4" s="6" t="s">
        <v>2414</v>
      </c>
      <c r="E4" s="6" t="s">
        <v>2415</v>
      </c>
      <c r="F4" s="6" t="s">
        <v>2416</v>
      </c>
      <c r="G4" s="6" t="s">
        <v>2417</v>
      </c>
      <c r="H4" s="6" t="s">
        <v>2418</v>
      </c>
      <c r="I4" s="6" t="s">
        <v>2419</v>
      </c>
      <c r="J4" s="6" t="s">
        <v>2420</v>
      </c>
      <c r="K4" s="6" t="s">
        <v>2421</v>
      </c>
      <c r="L4" s="6" t="s">
        <v>2422</v>
      </c>
      <c r="M4" s="6" t="s">
        <v>2423</v>
      </c>
      <c r="N4" s="6" t="s">
        <v>2424</v>
      </c>
      <c r="O4" s="6" t="s">
        <v>2425</v>
      </c>
      <c r="P4" s="6" t="s">
        <v>2426</v>
      </c>
      <c r="Q4" s="6" t="s">
        <v>2427</v>
      </c>
      <c r="R4" s="6" t="s">
        <v>2428</v>
      </c>
      <c r="S4" s="6" t="s">
        <v>2429</v>
      </c>
    </row>
    <row r="5" customFormat="false" ht="158.2" hidden="false" customHeight="false" outlineLevel="0" collapsed="false">
      <c r="A5" s="7" t="s">
        <v>136</v>
      </c>
      <c r="B5" s="7" t="s">
        <v>2430</v>
      </c>
      <c r="C5" s="7" t="s">
        <v>129</v>
      </c>
      <c r="D5" s="7" t="s">
        <v>130</v>
      </c>
      <c r="E5" s="7" t="s">
        <v>131</v>
      </c>
      <c r="F5" s="7" t="s">
        <v>135</v>
      </c>
      <c r="G5" s="7" t="s">
        <v>137</v>
      </c>
      <c r="H5" s="7" t="s">
        <v>2431</v>
      </c>
      <c r="I5" s="7" t="s">
        <v>2432</v>
      </c>
      <c r="J5" s="7" t="s">
        <v>2433</v>
      </c>
      <c r="K5" s="7" t="s">
        <v>2434</v>
      </c>
      <c r="L5" s="7" t="s">
        <v>2435</v>
      </c>
      <c r="M5" s="7" t="s">
        <v>2436</v>
      </c>
      <c r="N5" s="7" t="s">
        <v>2437</v>
      </c>
      <c r="O5" s="7" t="s">
        <v>2438</v>
      </c>
      <c r="P5" s="7" t="s">
        <v>2439</v>
      </c>
      <c r="Q5" s="7" t="s">
        <v>2440</v>
      </c>
      <c r="R5" s="7" t="s">
        <v>2441</v>
      </c>
      <c r="S5" s="7" t="s">
        <v>2442</v>
      </c>
    </row>
    <row r="6" customFormat="false" ht="158.2" hidden="false" customHeight="false" outlineLevel="0" collapsed="false">
      <c r="A6" s="7" t="s">
        <v>140</v>
      </c>
      <c r="B6" s="7" t="s">
        <v>2430</v>
      </c>
      <c r="C6" s="7" t="s">
        <v>138</v>
      </c>
      <c r="D6" s="7" t="s">
        <v>130</v>
      </c>
      <c r="E6" s="7" t="s">
        <v>139</v>
      </c>
      <c r="F6" s="7" t="s">
        <v>135</v>
      </c>
      <c r="G6" s="7" t="s">
        <v>137</v>
      </c>
      <c r="H6" s="7" t="s">
        <v>2431</v>
      </c>
      <c r="I6" s="7" t="s">
        <v>2432</v>
      </c>
      <c r="J6" s="7" t="s">
        <v>2433</v>
      </c>
      <c r="K6" s="7" t="s">
        <v>2434</v>
      </c>
      <c r="L6" s="7" t="s">
        <v>2435</v>
      </c>
      <c r="M6" s="7" t="s">
        <v>2436</v>
      </c>
      <c r="N6" s="7" t="s">
        <v>2437</v>
      </c>
      <c r="O6" s="7" t="s">
        <v>2438</v>
      </c>
      <c r="P6" s="7" t="s">
        <v>2439</v>
      </c>
      <c r="Q6" s="7" t="s">
        <v>2440</v>
      </c>
      <c r="R6" s="7" t="s">
        <v>2441</v>
      </c>
      <c r="S6" s="7" t="s">
        <v>2442</v>
      </c>
    </row>
    <row r="7" customFormat="false" ht="158.2" hidden="false" customHeight="false" outlineLevel="0" collapsed="false">
      <c r="A7" s="7" t="s">
        <v>144</v>
      </c>
      <c r="B7" s="7" t="s">
        <v>2430</v>
      </c>
      <c r="C7" s="7" t="s">
        <v>141</v>
      </c>
      <c r="D7" s="7" t="s">
        <v>130</v>
      </c>
      <c r="E7" s="7" t="s">
        <v>142</v>
      </c>
      <c r="F7" s="7" t="s">
        <v>135</v>
      </c>
      <c r="G7" s="7" t="s">
        <v>137</v>
      </c>
      <c r="H7" s="7" t="s">
        <v>2431</v>
      </c>
      <c r="I7" s="7" t="s">
        <v>2432</v>
      </c>
      <c r="J7" s="7" t="s">
        <v>2433</v>
      </c>
      <c r="K7" s="7" t="s">
        <v>2434</v>
      </c>
      <c r="L7" s="7" t="s">
        <v>2435</v>
      </c>
      <c r="M7" s="7" t="s">
        <v>2436</v>
      </c>
      <c r="N7" s="7" t="s">
        <v>2437</v>
      </c>
      <c r="O7" s="7" t="s">
        <v>2438</v>
      </c>
      <c r="P7" s="7" t="s">
        <v>2439</v>
      </c>
      <c r="Q7" s="7" t="s">
        <v>2440</v>
      </c>
      <c r="R7" s="7" t="s">
        <v>2441</v>
      </c>
      <c r="S7" s="7" t="s">
        <v>2442</v>
      </c>
    </row>
    <row r="8" customFormat="false" ht="158.2" hidden="false" customHeight="false" outlineLevel="0" collapsed="false">
      <c r="A8" s="7" t="s">
        <v>148</v>
      </c>
      <c r="B8" s="7" t="s">
        <v>2430</v>
      </c>
      <c r="C8" s="7" t="s">
        <v>145</v>
      </c>
      <c r="D8" s="7" t="s">
        <v>130</v>
      </c>
      <c r="E8" s="7" t="s">
        <v>146</v>
      </c>
      <c r="F8" s="7" t="s">
        <v>135</v>
      </c>
      <c r="G8" s="7" t="s">
        <v>137</v>
      </c>
      <c r="H8" s="7" t="s">
        <v>2431</v>
      </c>
      <c r="I8" s="7" t="s">
        <v>2432</v>
      </c>
      <c r="J8" s="7" t="s">
        <v>2433</v>
      </c>
      <c r="K8" s="7" t="s">
        <v>2434</v>
      </c>
      <c r="L8" s="7" t="s">
        <v>2435</v>
      </c>
      <c r="M8" s="7" t="s">
        <v>2436</v>
      </c>
      <c r="N8" s="7" t="s">
        <v>2437</v>
      </c>
      <c r="O8" s="7" t="s">
        <v>2438</v>
      </c>
      <c r="P8" s="7" t="s">
        <v>2439</v>
      </c>
      <c r="Q8" s="7" t="s">
        <v>2440</v>
      </c>
      <c r="R8" s="7" t="s">
        <v>2441</v>
      </c>
      <c r="S8" s="7" t="s">
        <v>2442</v>
      </c>
    </row>
    <row r="9" customFormat="false" ht="158.2" hidden="false" customHeight="false" outlineLevel="0" collapsed="false">
      <c r="A9" s="7" t="s">
        <v>153</v>
      </c>
      <c r="B9" s="7" t="s">
        <v>2430</v>
      </c>
      <c r="C9" s="7" t="s">
        <v>149</v>
      </c>
      <c r="D9" s="7" t="s">
        <v>130</v>
      </c>
      <c r="E9" s="7" t="s">
        <v>150</v>
      </c>
      <c r="F9" s="7" t="s">
        <v>152</v>
      </c>
      <c r="G9" s="7" t="s">
        <v>154</v>
      </c>
      <c r="H9" s="7" t="s">
        <v>2443</v>
      </c>
      <c r="I9" s="7" t="s">
        <v>2444</v>
      </c>
      <c r="J9" s="7" t="s">
        <v>2433</v>
      </c>
      <c r="K9" s="7" t="s">
        <v>2434</v>
      </c>
      <c r="L9" s="7" t="s">
        <v>2445</v>
      </c>
      <c r="M9" s="7" t="s">
        <v>2446</v>
      </c>
      <c r="N9" s="7" t="s">
        <v>2437</v>
      </c>
      <c r="O9" s="7" t="s">
        <v>2438</v>
      </c>
      <c r="P9" s="7" t="s">
        <v>2439</v>
      </c>
      <c r="Q9" s="7" t="s">
        <v>2440</v>
      </c>
      <c r="R9" s="7" t="s">
        <v>2441</v>
      </c>
      <c r="S9" s="7" t="s">
        <v>2442</v>
      </c>
    </row>
    <row r="10" customFormat="false" ht="158.2" hidden="false" customHeight="false" outlineLevel="0" collapsed="false">
      <c r="A10" s="7" t="s">
        <v>158</v>
      </c>
      <c r="B10" s="7" t="s">
        <v>2430</v>
      </c>
      <c r="C10" s="7" t="s">
        <v>155</v>
      </c>
      <c r="D10" s="7" t="s">
        <v>130</v>
      </c>
      <c r="E10" s="7" t="s">
        <v>156</v>
      </c>
      <c r="F10" s="7" t="s">
        <v>135</v>
      </c>
      <c r="G10" s="7" t="s">
        <v>137</v>
      </c>
      <c r="H10" s="7" t="s">
        <v>2431</v>
      </c>
      <c r="I10" s="7" t="s">
        <v>2432</v>
      </c>
      <c r="J10" s="7" t="s">
        <v>2433</v>
      </c>
      <c r="K10" s="7" t="s">
        <v>2434</v>
      </c>
      <c r="L10" s="7" t="s">
        <v>2435</v>
      </c>
      <c r="M10" s="7" t="s">
        <v>2436</v>
      </c>
      <c r="N10" s="7" t="s">
        <v>2437</v>
      </c>
      <c r="O10" s="7" t="s">
        <v>2438</v>
      </c>
      <c r="P10" s="7" t="s">
        <v>2439</v>
      </c>
      <c r="Q10" s="7" t="s">
        <v>2440</v>
      </c>
      <c r="R10" s="7" t="s">
        <v>2441</v>
      </c>
      <c r="S10" s="7" t="s">
        <v>2442</v>
      </c>
    </row>
    <row r="11" customFormat="false" ht="158.2" hidden="false" customHeight="false" outlineLevel="0" collapsed="false">
      <c r="A11" s="7" t="s">
        <v>162</v>
      </c>
      <c r="B11" s="7" t="s">
        <v>2430</v>
      </c>
      <c r="C11" s="7" t="s">
        <v>159</v>
      </c>
      <c r="D11" s="7" t="s">
        <v>130</v>
      </c>
      <c r="E11" s="7" t="s">
        <v>160</v>
      </c>
      <c r="F11" s="7" t="s">
        <v>161</v>
      </c>
      <c r="G11" s="7" t="s">
        <v>154</v>
      </c>
      <c r="H11" s="7" t="s">
        <v>2443</v>
      </c>
      <c r="I11" s="7" t="s">
        <v>2444</v>
      </c>
      <c r="J11" s="7" t="s">
        <v>2433</v>
      </c>
      <c r="K11" s="7" t="s">
        <v>2434</v>
      </c>
      <c r="L11" s="7" t="s">
        <v>2445</v>
      </c>
      <c r="M11" s="7" t="s">
        <v>2446</v>
      </c>
      <c r="N11" s="7" t="s">
        <v>2437</v>
      </c>
      <c r="O11" s="7" t="s">
        <v>2438</v>
      </c>
      <c r="P11" s="7" t="s">
        <v>2439</v>
      </c>
      <c r="Q11" s="7" t="s">
        <v>2440</v>
      </c>
      <c r="R11" s="7" t="s">
        <v>2441</v>
      </c>
      <c r="S11" s="7" t="s">
        <v>2442</v>
      </c>
    </row>
    <row r="12" customFormat="false" ht="158.2" hidden="false" customHeight="false" outlineLevel="0" collapsed="false">
      <c r="A12" s="7" t="s">
        <v>165</v>
      </c>
      <c r="B12" s="7" t="s">
        <v>2430</v>
      </c>
      <c r="C12" s="7" t="s">
        <v>163</v>
      </c>
      <c r="D12" s="7" t="s">
        <v>130</v>
      </c>
      <c r="E12" s="7" t="s">
        <v>164</v>
      </c>
      <c r="F12" s="7" t="s">
        <v>161</v>
      </c>
      <c r="G12" s="7" t="s">
        <v>154</v>
      </c>
      <c r="H12" s="7" t="s">
        <v>2443</v>
      </c>
      <c r="I12" s="7" t="s">
        <v>2444</v>
      </c>
      <c r="J12" s="7" t="s">
        <v>2433</v>
      </c>
      <c r="K12" s="7" t="s">
        <v>2434</v>
      </c>
      <c r="L12" s="7" t="s">
        <v>2445</v>
      </c>
      <c r="M12" s="7" t="s">
        <v>2446</v>
      </c>
      <c r="N12" s="7" t="s">
        <v>2437</v>
      </c>
      <c r="O12" s="7" t="s">
        <v>2438</v>
      </c>
      <c r="P12" s="7" t="s">
        <v>2439</v>
      </c>
      <c r="Q12" s="7" t="s">
        <v>2440</v>
      </c>
      <c r="R12" s="7" t="s">
        <v>2441</v>
      </c>
      <c r="S12" s="7" t="s">
        <v>2442</v>
      </c>
    </row>
    <row r="13" customFormat="false" ht="158.2" hidden="false" customHeight="false" outlineLevel="0" collapsed="false">
      <c r="A13" s="7" t="s">
        <v>168</v>
      </c>
      <c r="B13" s="7" t="s">
        <v>2430</v>
      </c>
      <c r="C13" s="7" t="s">
        <v>166</v>
      </c>
      <c r="D13" s="7" t="s">
        <v>130</v>
      </c>
      <c r="E13" s="7" t="s">
        <v>167</v>
      </c>
      <c r="F13" s="7" t="s">
        <v>152</v>
      </c>
      <c r="G13" s="7" t="s">
        <v>154</v>
      </c>
      <c r="H13" s="7" t="s">
        <v>2443</v>
      </c>
      <c r="I13" s="7" t="s">
        <v>2444</v>
      </c>
      <c r="J13" s="7" t="s">
        <v>2433</v>
      </c>
      <c r="K13" s="7" t="s">
        <v>2434</v>
      </c>
      <c r="L13" s="7" t="s">
        <v>2445</v>
      </c>
      <c r="M13" s="7" t="s">
        <v>2446</v>
      </c>
      <c r="N13" s="7" t="s">
        <v>2437</v>
      </c>
      <c r="O13" s="7" t="s">
        <v>2438</v>
      </c>
      <c r="P13" s="7" t="s">
        <v>2439</v>
      </c>
      <c r="Q13" s="7" t="s">
        <v>2440</v>
      </c>
      <c r="R13" s="7" t="s">
        <v>2441</v>
      </c>
      <c r="S13" s="7" t="s">
        <v>2442</v>
      </c>
    </row>
    <row r="14" customFormat="false" ht="158.2" hidden="false" customHeight="false" outlineLevel="0" collapsed="false">
      <c r="A14" s="7" t="s">
        <v>172</v>
      </c>
      <c r="B14" s="7" t="s">
        <v>2430</v>
      </c>
      <c r="C14" s="7" t="s">
        <v>169</v>
      </c>
      <c r="D14" s="7" t="s">
        <v>130</v>
      </c>
      <c r="E14" s="7" t="s">
        <v>170</v>
      </c>
      <c r="F14" s="7" t="s">
        <v>152</v>
      </c>
      <c r="G14" s="7" t="s">
        <v>154</v>
      </c>
      <c r="H14" s="7" t="s">
        <v>2443</v>
      </c>
      <c r="I14" s="7" t="s">
        <v>2444</v>
      </c>
      <c r="J14" s="7" t="s">
        <v>2433</v>
      </c>
      <c r="K14" s="7" t="s">
        <v>2434</v>
      </c>
      <c r="L14" s="7" t="s">
        <v>2445</v>
      </c>
      <c r="M14" s="7" t="s">
        <v>2446</v>
      </c>
      <c r="N14" s="7" t="s">
        <v>2437</v>
      </c>
      <c r="O14" s="7" t="s">
        <v>2438</v>
      </c>
      <c r="P14" s="7" t="s">
        <v>2439</v>
      </c>
      <c r="Q14" s="7" t="s">
        <v>2440</v>
      </c>
      <c r="R14" s="7" t="s">
        <v>2441</v>
      </c>
      <c r="S14" s="7" t="s">
        <v>2442</v>
      </c>
    </row>
    <row r="15" customFormat="false" ht="158.2" hidden="false" customHeight="false" outlineLevel="0" collapsed="false">
      <c r="A15" s="7" t="s">
        <v>175</v>
      </c>
      <c r="B15" s="7" t="s">
        <v>2430</v>
      </c>
      <c r="C15" s="7" t="s">
        <v>173</v>
      </c>
      <c r="D15" s="7" t="s">
        <v>130</v>
      </c>
      <c r="E15" s="7" t="s">
        <v>174</v>
      </c>
      <c r="F15" s="7" t="s">
        <v>152</v>
      </c>
      <c r="G15" s="7" t="s">
        <v>154</v>
      </c>
      <c r="H15" s="7" t="s">
        <v>2443</v>
      </c>
      <c r="I15" s="7" t="s">
        <v>2444</v>
      </c>
      <c r="J15" s="7" t="s">
        <v>2433</v>
      </c>
      <c r="K15" s="7" t="s">
        <v>2434</v>
      </c>
      <c r="L15" s="7" t="s">
        <v>2445</v>
      </c>
      <c r="M15" s="7" t="s">
        <v>2446</v>
      </c>
      <c r="N15" s="7" t="s">
        <v>2437</v>
      </c>
      <c r="O15" s="7" t="s">
        <v>2438</v>
      </c>
      <c r="P15" s="7" t="s">
        <v>2439</v>
      </c>
      <c r="Q15" s="7" t="s">
        <v>2440</v>
      </c>
      <c r="R15" s="7" t="s">
        <v>2441</v>
      </c>
      <c r="S15" s="7" t="s">
        <v>2442</v>
      </c>
    </row>
    <row r="16" customFormat="false" ht="158.2" hidden="false" customHeight="false" outlineLevel="0" collapsed="false">
      <c r="A16" s="7" t="s">
        <v>180</v>
      </c>
      <c r="B16" s="7" t="s">
        <v>2430</v>
      </c>
      <c r="C16" s="7" t="s">
        <v>176</v>
      </c>
      <c r="D16" s="7" t="s">
        <v>177</v>
      </c>
      <c r="E16" s="7" t="s">
        <v>178</v>
      </c>
      <c r="F16" s="7" t="s">
        <v>179</v>
      </c>
      <c r="G16" s="7" t="s">
        <v>137</v>
      </c>
      <c r="H16" s="7" t="s">
        <v>2431</v>
      </c>
      <c r="I16" s="7" t="s">
        <v>2432</v>
      </c>
      <c r="J16" s="7" t="s">
        <v>2433</v>
      </c>
      <c r="K16" s="7" t="s">
        <v>2434</v>
      </c>
      <c r="L16" s="7" t="s">
        <v>2435</v>
      </c>
      <c r="M16" s="7" t="s">
        <v>2436</v>
      </c>
      <c r="N16" s="7" t="s">
        <v>2447</v>
      </c>
      <c r="O16" s="7" t="s">
        <v>2438</v>
      </c>
      <c r="P16" s="7" t="s">
        <v>2439</v>
      </c>
      <c r="Q16" s="7" t="s">
        <v>2440</v>
      </c>
      <c r="R16" s="7" t="s">
        <v>2441</v>
      </c>
      <c r="S16" s="7" t="s">
        <v>2442</v>
      </c>
    </row>
    <row r="17" customFormat="false" ht="158.2" hidden="false" customHeight="false" outlineLevel="0" collapsed="false">
      <c r="A17" s="7" t="s">
        <v>185</v>
      </c>
      <c r="B17" s="7" t="s">
        <v>2430</v>
      </c>
      <c r="C17" s="7" t="s">
        <v>182</v>
      </c>
      <c r="D17" s="7" t="s">
        <v>177</v>
      </c>
      <c r="E17" s="7" t="s">
        <v>183</v>
      </c>
      <c r="F17" s="7" t="s">
        <v>179</v>
      </c>
      <c r="G17" s="7" t="s">
        <v>137</v>
      </c>
      <c r="H17" s="7" t="s">
        <v>2431</v>
      </c>
      <c r="I17" s="7" t="s">
        <v>2432</v>
      </c>
      <c r="J17" s="7" t="s">
        <v>2433</v>
      </c>
      <c r="K17" s="7" t="s">
        <v>2434</v>
      </c>
      <c r="L17" s="7" t="s">
        <v>2435</v>
      </c>
      <c r="M17" s="7" t="s">
        <v>2436</v>
      </c>
      <c r="N17" s="7" t="s">
        <v>2447</v>
      </c>
      <c r="O17" s="7" t="s">
        <v>2438</v>
      </c>
      <c r="P17" s="7" t="s">
        <v>2439</v>
      </c>
      <c r="Q17" s="7" t="s">
        <v>2440</v>
      </c>
      <c r="R17" s="7" t="s">
        <v>2441</v>
      </c>
      <c r="S17" s="7" t="s">
        <v>2442</v>
      </c>
    </row>
    <row r="18" customFormat="false" ht="158.2" hidden="false" customHeight="false" outlineLevel="0" collapsed="false">
      <c r="A18" s="7" t="s">
        <v>188</v>
      </c>
      <c r="B18" s="7" t="s">
        <v>2430</v>
      </c>
      <c r="C18" s="7" t="s">
        <v>186</v>
      </c>
      <c r="D18" s="7" t="s">
        <v>177</v>
      </c>
      <c r="E18" s="7" t="s">
        <v>187</v>
      </c>
      <c r="F18" s="7" t="s">
        <v>179</v>
      </c>
      <c r="G18" s="7" t="s">
        <v>137</v>
      </c>
      <c r="H18" s="7" t="s">
        <v>2431</v>
      </c>
      <c r="I18" s="7" t="s">
        <v>2432</v>
      </c>
      <c r="J18" s="7" t="s">
        <v>2433</v>
      </c>
      <c r="K18" s="7" t="s">
        <v>2434</v>
      </c>
      <c r="L18" s="7" t="s">
        <v>2435</v>
      </c>
      <c r="M18" s="7" t="s">
        <v>2436</v>
      </c>
      <c r="N18" s="7" t="s">
        <v>2447</v>
      </c>
      <c r="O18" s="7" t="s">
        <v>2438</v>
      </c>
      <c r="P18" s="7" t="s">
        <v>2439</v>
      </c>
      <c r="Q18" s="7" t="s">
        <v>2440</v>
      </c>
      <c r="R18" s="7" t="s">
        <v>2441</v>
      </c>
      <c r="S18" s="7" t="s">
        <v>2442</v>
      </c>
    </row>
    <row r="19" customFormat="false" ht="158.2" hidden="false" customHeight="false" outlineLevel="0" collapsed="false">
      <c r="A19" s="7" t="s">
        <v>191</v>
      </c>
      <c r="B19" s="7" t="s">
        <v>2430</v>
      </c>
      <c r="C19" s="7" t="s">
        <v>189</v>
      </c>
      <c r="D19" s="7" t="s">
        <v>177</v>
      </c>
      <c r="E19" s="7" t="s">
        <v>190</v>
      </c>
      <c r="F19" s="7" t="s">
        <v>179</v>
      </c>
      <c r="G19" s="7" t="s">
        <v>137</v>
      </c>
      <c r="H19" s="7" t="s">
        <v>2431</v>
      </c>
      <c r="I19" s="7" t="s">
        <v>2432</v>
      </c>
      <c r="J19" s="7" t="s">
        <v>2433</v>
      </c>
      <c r="K19" s="7" t="s">
        <v>2434</v>
      </c>
      <c r="L19" s="7" t="s">
        <v>2435</v>
      </c>
      <c r="M19" s="7" t="s">
        <v>2436</v>
      </c>
      <c r="N19" s="7" t="s">
        <v>2447</v>
      </c>
      <c r="O19" s="7" t="s">
        <v>2438</v>
      </c>
      <c r="P19" s="7" t="s">
        <v>2439</v>
      </c>
      <c r="Q19" s="7" t="s">
        <v>2440</v>
      </c>
      <c r="R19" s="7" t="s">
        <v>2441</v>
      </c>
      <c r="S19" s="7" t="s">
        <v>2442</v>
      </c>
    </row>
    <row r="20" customFormat="false" ht="158.2" hidden="false" customHeight="false" outlineLevel="0" collapsed="false">
      <c r="A20" s="7" t="s">
        <v>196</v>
      </c>
      <c r="B20" s="7" t="s">
        <v>2430</v>
      </c>
      <c r="C20" s="7" t="s">
        <v>192</v>
      </c>
      <c r="D20" s="7" t="s">
        <v>177</v>
      </c>
      <c r="E20" s="7" t="s">
        <v>193</v>
      </c>
      <c r="F20" s="7" t="s">
        <v>195</v>
      </c>
      <c r="G20" s="7" t="s">
        <v>197</v>
      </c>
      <c r="H20" s="7" t="s">
        <v>2448</v>
      </c>
      <c r="I20" s="7" t="s">
        <v>2449</v>
      </c>
      <c r="J20" s="7" t="s">
        <v>2433</v>
      </c>
      <c r="K20" s="7" t="s">
        <v>2434</v>
      </c>
      <c r="L20" s="7" t="s">
        <v>2450</v>
      </c>
      <c r="M20" s="7" t="s">
        <v>2451</v>
      </c>
      <c r="N20" s="7" t="s">
        <v>2447</v>
      </c>
      <c r="O20" s="7" t="s">
        <v>2438</v>
      </c>
      <c r="P20" s="7" t="s">
        <v>2439</v>
      </c>
      <c r="Q20" s="7" t="s">
        <v>2440</v>
      </c>
      <c r="R20" s="7" t="s">
        <v>2441</v>
      </c>
      <c r="S20" s="7" t="s">
        <v>2442</v>
      </c>
    </row>
    <row r="21" customFormat="false" ht="158.2" hidden="false" customHeight="false" outlineLevel="0" collapsed="false">
      <c r="A21" s="7" t="s">
        <v>200</v>
      </c>
      <c r="B21" s="7" t="s">
        <v>2430</v>
      </c>
      <c r="C21" s="7" t="s">
        <v>198</v>
      </c>
      <c r="D21" s="7" t="s">
        <v>177</v>
      </c>
      <c r="E21" s="7" t="s">
        <v>199</v>
      </c>
      <c r="F21" s="7" t="s">
        <v>195</v>
      </c>
      <c r="G21" s="7" t="s">
        <v>197</v>
      </c>
      <c r="H21" s="7" t="s">
        <v>2448</v>
      </c>
      <c r="I21" s="7" t="s">
        <v>2449</v>
      </c>
      <c r="J21" s="7" t="s">
        <v>2433</v>
      </c>
      <c r="K21" s="7" t="s">
        <v>2434</v>
      </c>
      <c r="L21" s="7" t="s">
        <v>2450</v>
      </c>
      <c r="M21" s="7" t="s">
        <v>2451</v>
      </c>
      <c r="N21" s="7" t="s">
        <v>2447</v>
      </c>
      <c r="O21" s="7" t="s">
        <v>2438</v>
      </c>
      <c r="P21" s="7" t="s">
        <v>2439</v>
      </c>
      <c r="Q21" s="7" t="s">
        <v>2440</v>
      </c>
      <c r="R21" s="7" t="s">
        <v>2441</v>
      </c>
      <c r="S21" s="7" t="s">
        <v>2442</v>
      </c>
    </row>
    <row r="22" customFormat="false" ht="158.2" hidden="false" customHeight="false" outlineLevel="0" collapsed="false">
      <c r="A22" s="7" t="s">
        <v>203</v>
      </c>
      <c r="B22" s="7" t="s">
        <v>2430</v>
      </c>
      <c r="C22" s="7" t="s">
        <v>201</v>
      </c>
      <c r="D22" s="7" t="s">
        <v>177</v>
      </c>
      <c r="E22" s="7" t="s">
        <v>202</v>
      </c>
      <c r="F22" s="7" t="s">
        <v>179</v>
      </c>
      <c r="G22" s="7" t="s">
        <v>137</v>
      </c>
      <c r="H22" s="7" t="s">
        <v>2431</v>
      </c>
      <c r="I22" s="7" t="s">
        <v>2432</v>
      </c>
      <c r="J22" s="7" t="s">
        <v>2433</v>
      </c>
      <c r="K22" s="7" t="s">
        <v>2434</v>
      </c>
      <c r="L22" s="7" t="s">
        <v>2435</v>
      </c>
      <c r="M22" s="7" t="s">
        <v>2436</v>
      </c>
      <c r="N22" s="7" t="s">
        <v>2447</v>
      </c>
      <c r="O22" s="7" t="s">
        <v>2438</v>
      </c>
      <c r="P22" s="7" t="s">
        <v>2439</v>
      </c>
      <c r="Q22" s="7" t="s">
        <v>2440</v>
      </c>
      <c r="R22" s="7" t="s">
        <v>2441</v>
      </c>
      <c r="S22" s="7" t="s">
        <v>2442</v>
      </c>
    </row>
    <row r="23" customFormat="false" ht="158.2" hidden="false" customHeight="false" outlineLevel="0" collapsed="false">
      <c r="A23" s="7" t="s">
        <v>206</v>
      </c>
      <c r="B23" s="7" t="s">
        <v>2430</v>
      </c>
      <c r="C23" s="7" t="s">
        <v>204</v>
      </c>
      <c r="D23" s="7" t="s">
        <v>177</v>
      </c>
      <c r="E23" s="7" t="s">
        <v>205</v>
      </c>
      <c r="F23" s="7" t="s">
        <v>152</v>
      </c>
      <c r="G23" s="7" t="s">
        <v>154</v>
      </c>
      <c r="H23" s="7" t="s">
        <v>2443</v>
      </c>
      <c r="I23" s="7" t="s">
        <v>2444</v>
      </c>
      <c r="J23" s="7" t="s">
        <v>2433</v>
      </c>
      <c r="K23" s="7" t="s">
        <v>2434</v>
      </c>
      <c r="L23" s="7" t="s">
        <v>2445</v>
      </c>
      <c r="M23" s="7" t="s">
        <v>2446</v>
      </c>
      <c r="N23" s="7" t="s">
        <v>2447</v>
      </c>
      <c r="O23" s="7" t="s">
        <v>2438</v>
      </c>
      <c r="P23" s="7" t="s">
        <v>2439</v>
      </c>
      <c r="Q23" s="7" t="s">
        <v>2440</v>
      </c>
      <c r="R23" s="7" t="s">
        <v>2441</v>
      </c>
      <c r="S23" s="7" t="s">
        <v>2442</v>
      </c>
    </row>
    <row r="24" customFormat="false" ht="158.2" hidden="false" customHeight="false" outlineLevel="0" collapsed="false">
      <c r="A24" s="7" t="s">
        <v>211</v>
      </c>
      <c r="B24" s="7" t="s">
        <v>2430</v>
      </c>
      <c r="C24" s="7" t="s">
        <v>208</v>
      </c>
      <c r="D24" s="7" t="s">
        <v>177</v>
      </c>
      <c r="E24" s="7" t="s">
        <v>209</v>
      </c>
      <c r="F24" s="7" t="s">
        <v>179</v>
      </c>
      <c r="G24" s="7" t="s">
        <v>137</v>
      </c>
      <c r="H24" s="7" t="s">
        <v>2431</v>
      </c>
      <c r="I24" s="7" t="s">
        <v>2432</v>
      </c>
      <c r="J24" s="7" t="s">
        <v>2433</v>
      </c>
      <c r="K24" s="7" t="s">
        <v>2434</v>
      </c>
      <c r="L24" s="7" t="s">
        <v>2435</v>
      </c>
      <c r="M24" s="7" t="s">
        <v>2436</v>
      </c>
      <c r="N24" s="7" t="s">
        <v>2447</v>
      </c>
      <c r="O24" s="7" t="s">
        <v>2438</v>
      </c>
      <c r="P24" s="7" t="s">
        <v>2439</v>
      </c>
      <c r="Q24" s="7" t="s">
        <v>2440</v>
      </c>
      <c r="R24" s="7" t="s">
        <v>2441</v>
      </c>
      <c r="S24" s="7" t="s">
        <v>2442</v>
      </c>
    </row>
    <row r="25" customFormat="false" ht="158.2" hidden="false" customHeight="false" outlineLevel="0" collapsed="false">
      <c r="A25" s="7" t="s">
        <v>215</v>
      </c>
      <c r="B25" s="7" t="s">
        <v>2430</v>
      </c>
      <c r="C25" s="7" t="s">
        <v>212</v>
      </c>
      <c r="D25" s="7" t="s">
        <v>177</v>
      </c>
      <c r="E25" s="7" t="s">
        <v>213</v>
      </c>
      <c r="F25" s="7" t="s">
        <v>214</v>
      </c>
      <c r="G25" s="7" t="s">
        <v>154</v>
      </c>
      <c r="H25" s="7" t="s">
        <v>2443</v>
      </c>
      <c r="I25" s="7" t="s">
        <v>2444</v>
      </c>
      <c r="J25" s="7" t="s">
        <v>2433</v>
      </c>
      <c r="K25" s="7" t="s">
        <v>2434</v>
      </c>
      <c r="L25" s="7" t="s">
        <v>2445</v>
      </c>
      <c r="M25" s="7" t="s">
        <v>2446</v>
      </c>
      <c r="N25" s="7" t="s">
        <v>2447</v>
      </c>
      <c r="O25" s="7" t="s">
        <v>2438</v>
      </c>
      <c r="P25" s="7" t="s">
        <v>2439</v>
      </c>
      <c r="Q25" s="7" t="s">
        <v>2440</v>
      </c>
      <c r="R25" s="7" t="s">
        <v>2441</v>
      </c>
      <c r="S25" s="7" t="s">
        <v>2442</v>
      </c>
    </row>
    <row r="26" customFormat="false" ht="158.2" hidden="false" customHeight="false" outlineLevel="0" collapsed="false">
      <c r="A26" s="7" t="s">
        <v>219</v>
      </c>
      <c r="B26" s="7" t="s">
        <v>2430</v>
      </c>
      <c r="C26" s="7" t="s">
        <v>217</v>
      </c>
      <c r="D26" s="7" t="s">
        <v>177</v>
      </c>
      <c r="E26" s="7" t="s">
        <v>218</v>
      </c>
      <c r="F26" s="7" t="s">
        <v>214</v>
      </c>
      <c r="G26" s="7" t="s">
        <v>154</v>
      </c>
      <c r="H26" s="7" t="s">
        <v>2443</v>
      </c>
      <c r="I26" s="7" t="s">
        <v>2444</v>
      </c>
      <c r="J26" s="7" t="s">
        <v>2433</v>
      </c>
      <c r="K26" s="7" t="s">
        <v>2434</v>
      </c>
      <c r="L26" s="7" t="s">
        <v>2445</v>
      </c>
      <c r="M26" s="7" t="s">
        <v>2446</v>
      </c>
      <c r="N26" s="7" t="s">
        <v>2447</v>
      </c>
      <c r="O26" s="7" t="s">
        <v>2438</v>
      </c>
      <c r="P26" s="7" t="s">
        <v>2439</v>
      </c>
      <c r="Q26" s="7" t="s">
        <v>2440</v>
      </c>
      <c r="R26" s="7" t="s">
        <v>2441</v>
      </c>
      <c r="S26" s="7" t="s">
        <v>2442</v>
      </c>
    </row>
    <row r="27" customFormat="false" ht="158.2" hidden="false" customHeight="false" outlineLevel="0" collapsed="false">
      <c r="A27" s="7" t="s">
        <v>222</v>
      </c>
      <c r="B27" s="7" t="s">
        <v>2430</v>
      </c>
      <c r="C27" s="7" t="s">
        <v>220</v>
      </c>
      <c r="D27" s="7" t="s">
        <v>177</v>
      </c>
      <c r="E27" s="7" t="s">
        <v>221</v>
      </c>
      <c r="F27" s="7" t="s">
        <v>214</v>
      </c>
      <c r="G27" s="7" t="s">
        <v>154</v>
      </c>
      <c r="H27" s="7" t="s">
        <v>2443</v>
      </c>
      <c r="I27" s="7" t="s">
        <v>2444</v>
      </c>
      <c r="J27" s="7" t="s">
        <v>2433</v>
      </c>
      <c r="K27" s="7" t="s">
        <v>2434</v>
      </c>
      <c r="L27" s="7" t="s">
        <v>2445</v>
      </c>
      <c r="M27" s="7" t="s">
        <v>2446</v>
      </c>
      <c r="N27" s="7" t="s">
        <v>2447</v>
      </c>
      <c r="O27" s="7" t="s">
        <v>2438</v>
      </c>
      <c r="P27" s="7" t="s">
        <v>2439</v>
      </c>
      <c r="Q27" s="7" t="s">
        <v>2440</v>
      </c>
      <c r="R27" s="7" t="s">
        <v>2441</v>
      </c>
      <c r="S27" s="7" t="s">
        <v>2442</v>
      </c>
    </row>
    <row r="28" customFormat="false" ht="158.2" hidden="false" customHeight="false" outlineLevel="0" collapsed="false">
      <c r="A28" s="7" t="s">
        <v>225</v>
      </c>
      <c r="B28" s="7" t="s">
        <v>2430</v>
      </c>
      <c r="C28" s="7" t="s">
        <v>223</v>
      </c>
      <c r="D28" s="7" t="s">
        <v>177</v>
      </c>
      <c r="E28" s="7" t="s">
        <v>224</v>
      </c>
      <c r="F28" s="7" t="s">
        <v>214</v>
      </c>
      <c r="G28" s="7" t="s">
        <v>154</v>
      </c>
      <c r="H28" s="7" t="s">
        <v>2443</v>
      </c>
      <c r="I28" s="7" t="s">
        <v>2444</v>
      </c>
      <c r="J28" s="7" t="s">
        <v>2433</v>
      </c>
      <c r="K28" s="7" t="s">
        <v>2434</v>
      </c>
      <c r="L28" s="7" t="s">
        <v>2445</v>
      </c>
      <c r="M28" s="7" t="s">
        <v>2446</v>
      </c>
      <c r="N28" s="7" t="s">
        <v>2447</v>
      </c>
      <c r="O28" s="7" t="s">
        <v>2438</v>
      </c>
      <c r="P28" s="7" t="s">
        <v>2439</v>
      </c>
      <c r="Q28" s="7" t="s">
        <v>2440</v>
      </c>
      <c r="R28" s="7" t="s">
        <v>2441</v>
      </c>
      <c r="S28" s="7" t="s">
        <v>2442</v>
      </c>
    </row>
    <row r="29" customFormat="false" ht="158.2" hidden="false" customHeight="false" outlineLevel="0" collapsed="false">
      <c r="A29" s="7" t="s">
        <v>228</v>
      </c>
      <c r="B29" s="7" t="s">
        <v>2430</v>
      </c>
      <c r="C29" s="7" t="s">
        <v>226</v>
      </c>
      <c r="D29" s="7" t="s">
        <v>177</v>
      </c>
      <c r="E29" s="7" t="s">
        <v>227</v>
      </c>
      <c r="F29" s="7" t="s">
        <v>214</v>
      </c>
      <c r="G29" s="7" t="s">
        <v>154</v>
      </c>
      <c r="H29" s="7" t="s">
        <v>2443</v>
      </c>
      <c r="I29" s="7" t="s">
        <v>2444</v>
      </c>
      <c r="J29" s="7" t="s">
        <v>2433</v>
      </c>
      <c r="K29" s="7" t="s">
        <v>2434</v>
      </c>
      <c r="L29" s="7" t="s">
        <v>2445</v>
      </c>
      <c r="M29" s="7" t="s">
        <v>2446</v>
      </c>
      <c r="N29" s="7" t="s">
        <v>2447</v>
      </c>
      <c r="O29" s="7" t="s">
        <v>2438</v>
      </c>
      <c r="P29" s="7" t="s">
        <v>2439</v>
      </c>
      <c r="Q29" s="7" t="s">
        <v>2440</v>
      </c>
      <c r="R29" s="7" t="s">
        <v>2441</v>
      </c>
      <c r="S29" s="7" t="s">
        <v>2442</v>
      </c>
    </row>
    <row r="30" customFormat="false" ht="158.2" hidden="false" customHeight="false" outlineLevel="0" collapsed="false">
      <c r="A30" s="7" t="s">
        <v>232</v>
      </c>
      <c r="B30" s="7" t="s">
        <v>2430</v>
      </c>
      <c r="C30" s="7" t="s">
        <v>230</v>
      </c>
      <c r="D30" s="7" t="s">
        <v>177</v>
      </c>
      <c r="E30" s="7" t="s">
        <v>231</v>
      </c>
      <c r="F30" s="7" t="s">
        <v>214</v>
      </c>
      <c r="G30" s="7" t="s">
        <v>154</v>
      </c>
      <c r="H30" s="7" t="s">
        <v>2443</v>
      </c>
      <c r="I30" s="7" t="s">
        <v>2444</v>
      </c>
      <c r="J30" s="7" t="s">
        <v>2433</v>
      </c>
      <c r="K30" s="7" t="s">
        <v>2434</v>
      </c>
      <c r="L30" s="7" t="s">
        <v>2445</v>
      </c>
      <c r="M30" s="7" t="s">
        <v>2446</v>
      </c>
      <c r="N30" s="7" t="s">
        <v>2447</v>
      </c>
      <c r="O30" s="7" t="s">
        <v>2438</v>
      </c>
      <c r="P30" s="7" t="s">
        <v>2439</v>
      </c>
      <c r="Q30" s="7" t="s">
        <v>2440</v>
      </c>
      <c r="R30" s="7" t="s">
        <v>2441</v>
      </c>
      <c r="S30" s="7" t="s">
        <v>2442</v>
      </c>
    </row>
    <row r="31" customFormat="false" ht="158.2" hidden="false" customHeight="false" outlineLevel="0" collapsed="false">
      <c r="A31" s="7" t="s">
        <v>235</v>
      </c>
      <c r="B31" s="7" t="s">
        <v>2430</v>
      </c>
      <c r="C31" s="7" t="s">
        <v>233</v>
      </c>
      <c r="D31" s="7" t="s">
        <v>177</v>
      </c>
      <c r="E31" s="7" t="s">
        <v>234</v>
      </c>
      <c r="F31" s="7" t="s">
        <v>214</v>
      </c>
      <c r="G31" s="7" t="s">
        <v>154</v>
      </c>
      <c r="H31" s="7" t="s">
        <v>2443</v>
      </c>
      <c r="I31" s="7" t="s">
        <v>2444</v>
      </c>
      <c r="J31" s="7" t="s">
        <v>2433</v>
      </c>
      <c r="K31" s="7" t="s">
        <v>2434</v>
      </c>
      <c r="L31" s="7" t="s">
        <v>2445</v>
      </c>
      <c r="M31" s="7" t="s">
        <v>2446</v>
      </c>
      <c r="N31" s="7" t="s">
        <v>2447</v>
      </c>
      <c r="O31" s="7" t="s">
        <v>2438</v>
      </c>
      <c r="P31" s="7" t="s">
        <v>2439</v>
      </c>
      <c r="Q31" s="7" t="s">
        <v>2440</v>
      </c>
      <c r="R31" s="7" t="s">
        <v>2441</v>
      </c>
      <c r="S31" s="7" t="s">
        <v>2442</v>
      </c>
    </row>
    <row r="32" customFormat="false" ht="158.2" hidden="false" customHeight="false" outlineLevel="0" collapsed="false">
      <c r="A32" s="7" t="s">
        <v>239</v>
      </c>
      <c r="B32" s="7" t="s">
        <v>2430</v>
      </c>
      <c r="C32" s="7" t="s">
        <v>237</v>
      </c>
      <c r="D32" s="7" t="s">
        <v>177</v>
      </c>
      <c r="E32" s="7" t="s">
        <v>238</v>
      </c>
      <c r="F32" s="7" t="s">
        <v>214</v>
      </c>
      <c r="G32" s="7" t="s">
        <v>154</v>
      </c>
      <c r="H32" s="7" t="s">
        <v>2443</v>
      </c>
      <c r="I32" s="7" t="s">
        <v>2444</v>
      </c>
      <c r="J32" s="7" t="s">
        <v>2433</v>
      </c>
      <c r="K32" s="7" t="s">
        <v>2434</v>
      </c>
      <c r="L32" s="7" t="s">
        <v>2445</v>
      </c>
      <c r="M32" s="7" t="s">
        <v>2446</v>
      </c>
      <c r="N32" s="7" t="s">
        <v>2447</v>
      </c>
      <c r="O32" s="7" t="s">
        <v>2438</v>
      </c>
      <c r="P32" s="7" t="s">
        <v>2439</v>
      </c>
      <c r="Q32" s="7" t="s">
        <v>2440</v>
      </c>
      <c r="R32" s="7" t="s">
        <v>2441</v>
      </c>
      <c r="S32" s="7" t="s">
        <v>2442</v>
      </c>
    </row>
    <row r="33" customFormat="false" ht="158.2" hidden="false" customHeight="false" outlineLevel="0" collapsed="false">
      <c r="A33" s="7" t="s">
        <v>243</v>
      </c>
      <c r="B33" s="7" t="s">
        <v>2430</v>
      </c>
      <c r="C33" s="7" t="s">
        <v>240</v>
      </c>
      <c r="D33" s="7" t="s">
        <v>177</v>
      </c>
      <c r="E33" s="7" t="s">
        <v>241</v>
      </c>
      <c r="F33" s="7" t="s">
        <v>242</v>
      </c>
      <c r="G33" s="7" t="s">
        <v>154</v>
      </c>
      <c r="H33" s="7" t="s">
        <v>2443</v>
      </c>
      <c r="I33" s="7" t="s">
        <v>2444</v>
      </c>
      <c r="J33" s="7" t="s">
        <v>2433</v>
      </c>
      <c r="K33" s="7" t="s">
        <v>2434</v>
      </c>
      <c r="L33" s="7" t="s">
        <v>2445</v>
      </c>
      <c r="M33" s="7" t="s">
        <v>2446</v>
      </c>
      <c r="N33" s="7" t="s">
        <v>2447</v>
      </c>
      <c r="O33" s="7" t="s">
        <v>2438</v>
      </c>
      <c r="P33" s="7" t="s">
        <v>2439</v>
      </c>
      <c r="Q33" s="7" t="s">
        <v>2440</v>
      </c>
      <c r="R33" s="7" t="s">
        <v>2441</v>
      </c>
      <c r="S33" s="7" t="s">
        <v>2442</v>
      </c>
    </row>
    <row r="34" customFormat="false" ht="158.2" hidden="false" customHeight="false" outlineLevel="0" collapsed="false">
      <c r="A34" s="7" t="s">
        <v>246</v>
      </c>
      <c r="B34" s="7" t="s">
        <v>2430</v>
      </c>
      <c r="C34" s="7" t="s">
        <v>244</v>
      </c>
      <c r="D34" s="7" t="s">
        <v>177</v>
      </c>
      <c r="E34" s="7" t="s">
        <v>245</v>
      </c>
      <c r="F34" s="7" t="s">
        <v>214</v>
      </c>
      <c r="G34" s="7" t="s">
        <v>154</v>
      </c>
      <c r="H34" s="7" t="s">
        <v>2443</v>
      </c>
      <c r="I34" s="7" t="s">
        <v>2444</v>
      </c>
      <c r="J34" s="7" t="s">
        <v>2433</v>
      </c>
      <c r="K34" s="7" t="s">
        <v>2434</v>
      </c>
      <c r="L34" s="7" t="s">
        <v>2445</v>
      </c>
      <c r="M34" s="7" t="s">
        <v>2446</v>
      </c>
      <c r="N34" s="7" t="s">
        <v>2447</v>
      </c>
      <c r="O34" s="7" t="s">
        <v>2438</v>
      </c>
      <c r="P34" s="7" t="s">
        <v>2439</v>
      </c>
      <c r="Q34" s="7" t="s">
        <v>2440</v>
      </c>
      <c r="R34" s="7" t="s">
        <v>2441</v>
      </c>
      <c r="S34" s="7" t="s">
        <v>2442</v>
      </c>
    </row>
    <row r="35" customFormat="false" ht="158.2" hidden="false" customHeight="false" outlineLevel="0" collapsed="false">
      <c r="A35" s="7" t="s">
        <v>249</v>
      </c>
      <c r="B35" s="7" t="s">
        <v>2430</v>
      </c>
      <c r="C35" s="7" t="s">
        <v>247</v>
      </c>
      <c r="D35" s="7" t="s">
        <v>177</v>
      </c>
      <c r="E35" s="7" t="s">
        <v>248</v>
      </c>
      <c r="F35" s="7" t="s">
        <v>214</v>
      </c>
      <c r="G35" s="7" t="s">
        <v>250</v>
      </c>
      <c r="H35" s="7" t="s">
        <v>2452</v>
      </c>
      <c r="I35" s="7" t="s">
        <v>2453</v>
      </c>
      <c r="J35" s="7" t="s">
        <v>2433</v>
      </c>
      <c r="K35" s="7" t="s">
        <v>2434</v>
      </c>
      <c r="L35" s="7" t="s">
        <v>2454</v>
      </c>
      <c r="M35" s="7" t="s">
        <v>2455</v>
      </c>
      <c r="N35" s="7" t="s">
        <v>2447</v>
      </c>
      <c r="O35" s="7" t="s">
        <v>2438</v>
      </c>
      <c r="P35" s="7" t="s">
        <v>2439</v>
      </c>
      <c r="Q35" s="7" t="s">
        <v>2440</v>
      </c>
      <c r="R35" s="7" t="s">
        <v>2441</v>
      </c>
      <c r="S35" s="7" t="s">
        <v>2442</v>
      </c>
    </row>
    <row r="36" customFormat="false" ht="158.2" hidden="false" customHeight="false" outlineLevel="0" collapsed="false">
      <c r="A36" s="7" t="s">
        <v>253</v>
      </c>
      <c r="B36" s="7" t="s">
        <v>2430</v>
      </c>
      <c r="C36" s="7" t="s">
        <v>251</v>
      </c>
      <c r="D36" s="7" t="s">
        <v>177</v>
      </c>
      <c r="E36" s="7" t="s">
        <v>252</v>
      </c>
      <c r="F36" s="7" t="s">
        <v>214</v>
      </c>
      <c r="G36" s="7" t="s">
        <v>154</v>
      </c>
      <c r="H36" s="7" t="s">
        <v>2443</v>
      </c>
      <c r="I36" s="7" t="s">
        <v>2444</v>
      </c>
      <c r="J36" s="7" t="s">
        <v>2433</v>
      </c>
      <c r="K36" s="7" t="s">
        <v>2434</v>
      </c>
      <c r="L36" s="7" t="s">
        <v>2445</v>
      </c>
      <c r="M36" s="7" t="s">
        <v>2446</v>
      </c>
      <c r="N36" s="7" t="s">
        <v>2447</v>
      </c>
      <c r="O36" s="7" t="s">
        <v>2438</v>
      </c>
      <c r="P36" s="7" t="s">
        <v>2439</v>
      </c>
      <c r="Q36" s="7" t="s">
        <v>2440</v>
      </c>
      <c r="R36" s="7" t="s">
        <v>2441</v>
      </c>
      <c r="S36" s="7" t="s">
        <v>2442</v>
      </c>
    </row>
    <row r="37" customFormat="false" ht="158.2" hidden="false" customHeight="false" outlineLevel="0" collapsed="false">
      <c r="A37" s="7" t="s">
        <v>256</v>
      </c>
      <c r="B37" s="7" t="s">
        <v>2430</v>
      </c>
      <c r="C37" s="7" t="s">
        <v>254</v>
      </c>
      <c r="D37" s="7" t="s">
        <v>177</v>
      </c>
      <c r="E37" s="7" t="s">
        <v>255</v>
      </c>
      <c r="F37" s="7" t="s">
        <v>214</v>
      </c>
      <c r="G37" s="7" t="s">
        <v>154</v>
      </c>
      <c r="H37" s="7" t="s">
        <v>2443</v>
      </c>
      <c r="I37" s="7" t="s">
        <v>2444</v>
      </c>
      <c r="J37" s="7" t="s">
        <v>2433</v>
      </c>
      <c r="K37" s="7" t="s">
        <v>2434</v>
      </c>
      <c r="L37" s="7" t="s">
        <v>2445</v>
      </c>
      <c r="M37" s="7" t="s">
        <v>2446</v>
      </c>
      <c r="N37" s="7" t="s">
        <v>2447</v>
      </c>
      <c r="O37" s="7" t="s">
        <v>2438</v>
      </c>
      <c r="P37" s="7" t="s">
        <v>2439</v>
      </c>
      <c r="Q37" s="7" t="s">
        <v>2440</v>
      </c>
      <c r="R37" s="7" t="s">
        <v>2441</v>
      </c>
      <c r="S37" s="7" t="s">
        <v>2442</v>
      </c>
    </row>
    <row r="38" customFormat="false" ht="158.2" hidden="false" customHeight="false" outlineLevel="0" collapsed="false">
      <c r="A38" s="7" t="s">
        <v>261</v>
      </c>
      <c r="B38" s="7" t="s">
        <v>2430</v>
      </c>
      <c r="C38" s="7" t="s">
        <v>257</v>
      </c>
      <c r="D38" s="7" t="s">
        <v>177</v>
      </c>
      <c r="E38" s="7" t="s">
        <v>258</v>
      </c>
      <c r="F38" s="7" t="s">
        <v>260</v>
      </c>
      <c r="G38" s="7" t="s">
        <v>154</v>
      </c>
      <c r="H38" s="7" t="s">
        <v>2443</v>
      </c>
      <c r="I38" s="7" t="s">
        <v>2444</v>
      </c>
      <c r="J38" s="7" t="s">
        <v>2433</v>
      </c>
      <c r="K38" s="7" t="s">
        <v>2434</v>
      </c>
      <c r="L38" s="7" t="s">
        <v>2445</v>
      </c>
      <c r="M38" s="7" t="s">
        <v>2446</v>
      </c>
      <c r="N38" s="7" t="s">
        <v>2447</v>
      </c>
      <c r="O38" s="7" t="s">
        <v>2438</v>
      </c>
      <c r="P38" s="7" t="s">
        <v>2439</v>
      </c>
      <c r="Q38" s="7" t="s">
        <v>2440</v>
      </c>
      <c r="R38" s="7" t="s">
        <v>2441</v>
      </c>
      <c r="S38" s="7" t="s">
        <v>2442</v>
      </c>
    </row>
    <row r="39" customFormat="false" ht="158.2" hidden="false" customHeight="false" outlineLevel="0" collapsed="false">
      <c r="A39" s="7" t="s">
        <v>264</v>
      </c>
      <c r="B39" s="7" t="s">
        <v>2430</v>
      </c>
      <c r="C39" s="7" t="s">
        <v>262</v>
      </c>
      <c r="D39" s="7" t="s">
        <v>177</v>
      </c>
      <c r="E39" s="7" t="s">
        <v>263</v>
      </c>
      <c r="F39" s="7" t="s">
        <v>260</v>
      </c>
      <c r="G39" s="7" t="s">
        <v>197</v>
      </c>
      <c r="H39" s="7" t="s">
        <v>2448</v>
      </c>
      <c r="I39" s="7" t="s">
        <v>2449</v>
      </c>
      <c r="J39" s="7" t="s">
        <v>2433</v>
      </c>
      <c r="K39" s="7" t="s">
        <v>2434</v>
      </c>
      <c r="L39" s="7" t="s">
        <v>2450</v>
      </c>
      <c r="M39" s="7" t="s">
        <v>2451</v>
      </c>
      <c r="N39" s="7" t="s">
        <v>2447</v>
      </c>
      <c r="O39" s="7" t="s">
        <v>2438</v>
      </c>
      <c r="P39" s="7" t="s">
        <v>2439</v>
      </c>
      <c r="Q39" s="7" t="s">
        <v>2440</v>
      </c>
      <c r="R39" s="7" t="s">
        <v>2441</v>
      </c>
      <c r="S39" s="7" t="s">
        <v>2442</v>
      </c>
    </row>
    <row r="40" customFormat="false" ht="158.2" hidden="false" customHeight="false" outlineLevel="0" collapsed="false">
      <c r="A40" s="7" t="s">
        <v>267</v>
      </c>
      <c r="B40" s="7" t="s">
        <v>2430</v>
      </c>
      <c r="C40" s="7" t="s">
        <v>265</v>
      </c>
      <c r="D40" s="7" t="s">
        <v>177</v>
      </c>
      <c r="E40" s="7" t="s">
        <v>266</v>
      </c>
      <c r="F40" s="7" t="s">
        <v>260</v>
      </c>
      <c r="G40" s="7" t="s">
        <v>197</v>
      </c>
      <c r="H40" s="7" t="s">
        <v>2448</v>
      </c>
      <c r="I40" s="7" t="s">
        <v>2449</v>
      </c>
      <c r="J40" s="7" t="s">
        <v>2433</v>
      </c>
      <c r="K40" s="7" t="s">
        <v>2434</v>
      </c>
      <c r="L40" s="7" t="s">
        <v>2450</v>
      </c>
      <c r="M40" s="7" t="s">
        <v>2451</v>
      </c>
      <c r="N40" s="7" t="s">
        <v>2447</v>
      </c>
      <c r="O40" s="7" t="s">
        <v>2438</v>
      </c>
      <c r="P40" s="7" t="s">
        <v>2439</v>
      </c>
      <c r="Q40" s="7" t="s">
        <v>2440</v>
      </c>
      <c r="R40" s="7" t="s">
        <v>2441</v>
      </c>
      <c r="S40" s="7" t="s">
        <v>2442</v>
      </c>
    </row>
    <row r="41" customFormat="false" ht="158.2" hidden="false" customHeight="false" outlineLevel="0" collapsed="false">
      <c r="A41" s="7" t="s">
        <v>270</v>
      </c>
      <c r="B41" s="7" t="s">
        <v>2430</v>
      </c>
      <c r="C41" s="7" t="s">
        <v>268</v>
      </c>
      <c r="D41" s="7" t="s">
        <v>177</v>
      </c>
      <c r="E41" s="7" t="s">
        <v>269</v>
      </c>
      <c r="F41" s="7" t="s">
        <v>260</v>
      </c>
      <c r="G41" s="7" t="s">
        <v>197</v>
      </c>
      <c r="H41" s="7" t="s">
        <v>2448</v>
      </c>
      <c r="I41" s="7" t="s">
        <v>2449</v>
      </c>
      <c r="J41" s="7" t="s">
        <v>2433</v>
      </c>
      <c r="K41" s="7" t="s">
        <v>2434</v>
      </c>
      <c r="L41" s="7" t="s">
        <v>2450</v>
      </c>
      <c r="M41" s="7" t="s">
        <v>2451</v>
      </c>
      <c r="N41" s="7" t="s">
        <v>2447</v>
      </c>
      <c r="O41" s="7" t="s">
        <v>2438</v>
      </c>
      <c r="P41" s="7" t="s">
        <v>2439</v>
      </c>
      <c r="Q41" s="7" t="s">
        <v>2440</v>
      </c>
      <c r="R41" s="7" t="s">
        <v>2441</v>
      </c>
      <c r="S41" s="7" t="s">
        <v>2442</v>
      </c>
    </row>
    <row r="42" customFormat="false" ht="158.2" hidden="false" customHeight="false" outlineLevel="0" collapsed="false">
      <c r="A42" s="7" t="s">
        <v>274</v>
      </c>
      <c r="B42" s="7" t="s">
        <v>2430</v>
      </c>
      <c r="C42" s="7" t="s">
        <v>271</v>
      </c>
      <c r="D42" s="7" t="s">
        <v>177</v>
      </c>
      <c r="E42" s="7" t="s">
        <v>272</v>
      </c>
      <c r="F42" s="7" t="s">
        <v>260</v>
      </c>
      <c r="G42" s="7" t="s">
        <v>197</v>
      </c>
      <c r="H42" s="7" t="s">
        <v>2448</v>
      </c>
      <c r="I42" s="7" t="s">
        <v>2449</v>
      </c>
      <c r="J42" s="7" t="s">
        <v>2433</v>
      </c>
      <c r="K42" s="7" t="s">
        <v>2434</v>
      </c>
      <c r="L42" s="7" t="s">
        <v>2450</v>
      </c>
      <c r="M42" s="7" t="s">
        <v>2451</v>
      </c>
      <c r="N42" s="7" t="s">
        <v>2447</v>
      </c>
      <c r="O42" s="7" t="s">
        <v>2438</v>
      </c>
      <c r="P42" s="7" t="s">
        <v>2439</v>
      </c>
      <c r="Q42" s="7" t="s">
        <v>2440</v>
      </c>
      <c r="R42" s="7" t="s">
        <v>2441</v>
      </c>
      <c r="S42" s="7" t="s">
        <v>2442</v>
      </c>
    </row>
    <row r="43" customFormat="false" ht="158.2" hidden="false" customHeight="false" outlineLevel="0" collapsed="false">
      <c r="A43" s="7" t="s">
        <v>278</v>
      </c>
      <c r="B43" s="7" t="s">
        <v>2430</v>
      </c>
      <c r="C43" s="7" t="s">
        <v>275</v>
      </c>
      <c r="D43" s="7" t="s">
        <v>276</v>
      </c>
      <c r="E43" s="7" t="s">
        <v>277</v>
      </c>
      <c r="F43" s="7" t="s">
        <v>152</v>
      </c>
      <c r="G43" s="7" t="s">
        <v>250</v>
      </c>
      <c r="H43" s="7" t="s">
        <v>2452</v>
      </c>
      <c r="I43" s="7" t="s">
        <v>2453</v>
      </c>
      <c r="J43" s="7" t="s">
        <v>2433</v>
      </c>
      <c r="K43" s="7" t="s">
        <v>2434</v>
      </c>
      <c r="L43" s="7" t="s">
        <v>2454</v>
      </c>
      <c r="M43" s="7" t="s">
        <v>2455</v>
      </c>
      <c r="N43" s="7" t="s">
        <v>2456</v>
      </c>
      <c r="O43" s="7" t="s">
        <v>2438</v>
      </c>
      <c r="P43" s="7" t="s">
        <v>2439</v>
      </c>
      <c r="Q43" s="7" t="s">
        <v>2440</v>
      </c>
      <c r="R43" s="7" t="s">
        <v>2441</v>
      </c>
      <c r="S43" s="7" t="s">
        <v>2442</v>
      </c>
    </row>
    <row r="44" customFormat="false" ht="158.2" hidden="false" customHeight="false" outlineLevel="0" collapsed="false">
      <c r="A44" s="7" t="s">
        <v>283</v>
      </c>
      <c r="B44" s="7" t="s">
        <v>2430</v>
      </c>
      <c r="C44" s="7" t="s">
        <v>280</v>
      </c>
      <c r="D44" s="7" t="s">
        <v>276</v>
      </c>
      <c r="E44" s="7" t="s">
        <v>281</v>
      </c>
      <c r="F44" s="7" t="s">
        <v>282</v>
      </c>
      <c r="G44" s="7" t="s">
        <v>154</v>
      </c>
      <c r="H44" s="7" t="s">
        <v>2443</v>
      </c>
      <c r="I44" s="7" t="s">
        <v>2444</v>
      </c>
      <c r="J44" s="7" t="s">
        <v>2433</v>
      </c>
      <c r="K44" s="7" t="s">
        <v>2434</v>
      </c>
      <c r="L44" s="7" t="s">
        <v>2445</v>
      </c>
      <c r="M44" s="7" t="s">
        <v>2446</v>
      </c>
      <c r="N44" s="7" t="s">
        <v>2456</v>
      </c>
      <c r="O44" s="7" t="s">
        <v>2438</v>
      </c>
      <c r="P44" s="7" t="s">
        <v>2439</v>
      </c>
      <c r="Q44" s="7" t="s">
        <v>2440</v>
      </c>
      <c r="R44" s="7" t="s">
        <v>2441</v>
      </c>
      <c r="S44" s="7" t="s">
        <v>2442</v>
      </c>
    </row>
    <row r="45" customFormat="false" ht="158.2" hidden="false" customHeight="false" outlineLevel="0" collapsed="false">
      <c r="A45" s="7" t="s">
        <v>286</v>
      </c>
      <c r="B45" s="7" t="s">
        <v>2430</v>
      </c>
      <c r="C45" s="7" t="s">
        <v>284</v>
      </c>
      <c r="D45" s="7" t="s">
        <v>276</v>
      </c>
      <c r="E45" s="7" t="s">
        <v>285</v>
      </c>
      <c r="F45" s="7" t="s">
        <v>282</v>
      </c>
      <c r="G45" s="7" t="s">
        <v>154</v>
      </c>
      <c r="H45" s="7" t="s">
        <v>2443</v>
      </c>
      <c r="I45" s="7" t="s">
        <v>2444</v>
      </c>
      <c r="J45" s="7" t="s">
        <v>2433</v>
      </c>
      <c r="K45" s="7" t="s">
        <v>2434</v>
      </c>
      <c r="L45" s="7" t="s">
        <v>2445</v>
      </c>
      <c r="M45" s="7" t="s">
        <v>2446</v>
      </c>
      <c r="N45" s="7" t="s">
        <v>2456</v>
      </c>
      <c r="O45" s="7" t="s">
        <v>2438</v>
      </c>
      <c r="P45" s="7" t="s">
        <v>2439</v>
      </c>
      <c r="Q45" s="7" t="s">
        <v>2440</v>
      </c>
      <c r="R45" s="7" t="s">
        <v>2441</v>
      </c>
      <c r="S45" s="7" t="s">
        <v>2442</v>
      </c>
    </row>
    <row r="46" customFormat="false" ht="158.2" hidden="false" customHeight="false" outlineLevel="0" collapsed="false">
      <c r="A46" s="7" t="s">
        <v>289</v>
      </c>
      <c r="B46" s="7" t="s">
        <v>2430</v>
      </c>
      <c r="C46" s="7" t="s">
        <v>287</v>
      </c>
      <c r="D46" s="7" t="s">
        <v>276</v>
      </c>
      <c r="E46" s="7" t="s">
        <v>288</v>
      </c>
      <c r="F46" s="7" t="s">
        <v>282</v>
      </c>
      <c r="G46" s="7" t="s">
        <v>154</v>
      </c>
      <c r="H46" s="7" t="s">
        <v>2443</v>
      </c>
      <c r="I46" s="7" t="s">
        <v>2444</v>
      </c>
      <c r="J46" s="7" t="s">
        <v>2433</v>
      </c>
      <c r="K46" s="7" t="s">
        <v>2434</v>
      </c>
      <c r="L46" s="7" t="s">
        <v>2445</v>
      </c>
      <c r="M46" s="7" t="s">
        <v>2446</v>
      </c>
      <c r="N46" s="7" t="s">
        <v>2456</v>
      </c>
      <c r="O46" s="7" t="s">
        <v>2438</v>
      </c>
      <c r="P46" s="7" t="s">
        <v>2439</v>
      </c>
      <c r="Q46" s="7" t="s">
        <v>2440</v>
      </c>
      <c r="R46" s="7" t="s">
        <v>2441</v>
      </c>
      <c r="S46" s="7" t="s">
        <v>2442</v>
      </c>
    </row>
    <row r="47" customFormat="false" ht="158.2" hidden="false" customHeight="false" outlineLevel="0" collapsed="false">
      <c r="A47" s="7" t="s">
        <v>294</v>
      </c>
      <c r="B47" s="7" t="s">
        <v>2430</v>
      </c>
      <c r="C47" s="7" t="s">
        <v>291</v>
      </c>
      <c r="D47" s="7" t="s">
        <v>276</v>
      </c>
      <c r="E47" s="7" t="s">
        <v>292</v>
      </c>
      <c r="F47" s="7" t="s">
        <v>293</v>
      </c>
      <c r="G47" s="7" t="s">
        <v>154</v>
      </c>
      <c r="H47" s="7" t="s">
        <v>2443</v>
      </c>
      <c r="I47" s="7" t="s">
        <v>2444</v>
      </c>
      <c r="J47" s="7" t="s">
        <v>2433</v>
      </c>
      <c r="K47" s="7" t="s">
        <v>2434</v>
      </c>
      <c r="L47" s="7" t="s">
        <v>2445</v>
      </c>
      <c r="M47" s="7" t="s">
        <v>2446</v>
      </c>
      <c r="N47" s="7" t="s">
        <v>2456</v>
      </c>
      <c r="O47" s="7" t="s">
        <v>2438</v>
      </c>
      <c r="P47" s="7" t="s">
        <v>2439</v>
      </c>
      <c r="Q47" s="7" t="s">
        <v>2440</v>
      </c>
      <c r="R47" s="7" t="s">
        <v>2441</v>
      </c>
      <c r="S47" s="7" t="s">
        <v>2442</v>
      </c>
    </row>
    <row r="48" customFormat="false" ht="158.2" hidden="false" customHeight="false" outlineLevel="0" collapsed="false">
      <c r="A48" s="7" t="s">
        <v>298</v>
      </c>
      <c r="B48" s="7" t="s">
        <v>2430</v>
      </c>
      <c r="C48" s="7" t="s">
        <v>296</v>
      </c>
      <c r="D48" s="7" t="s">
        <v>276</v>
      </c>
      <c r="E48" s="7" t="s">
        <v>297</v>
      </c>
      <c r="F48" s="7" t="s">
        <v>293</v>
      </c>
      <c r="G48" s="7" t="s">
        <v>154</v>
      </c>
      <c r="H48" s="7" t="s">
        <v>2443</v>
      </c>
      <c r="I48" s="7" t="s">
        <v>2444</v>
      </c>
      <c r="J48" s="7" t="s">
        <v>2433</v>
      </c>
      <c r="K48" s="7" t="s">
        <v>2434</v>
      </c>
      <c r="L48" s="7" t="s">
        <v>2445</v>
      </c>
      <c r="M48" s="7" t="s">
        <v>2446</v>
      </c>
      <c r="N48" s="7" t="s">
        <v>2456</v>
      </c>
      <c r="O48" s="7" t="s">
        <v>2438</v>
      </c>
      <c r="P48" s="7" t="s">
        <v>2439</v>
      </c>
      <c r="Q48" s="7" t="s">
        <v>2440</v>
      </c>
      <c r="R48" s="7" t="s">
        <v>2441</v>
      </c>
      <c r="S48" s="7" t="s">
        <v>2442</v>
      </c>
    </row>
    <row r="49" customFormat="false" ht="158.2" hidden="false" customHeight="false" outlineLevel="0" collapsed="false">
      <c r="A49" s="7" t="s">
        <v>301</v>
      </c>
      <c r="B49" s="7" t="s">
        <v>2430</v>
      </c>
      <c r="C49" s="7" t="s">
        <v>299</v>
      </c>
      <c r="D49" s="7" t="s">
        <v>276</v>
      </c>
      <c r="E49" s="7" t="s">
        <v>300</v>
      </c>
      <c r="F49" s="7" t="s">
        <v>293</v>
      </c>
      <c r="G49" s="7" t="s">
        <v>197</v>
      </c>
      <c r="H49" s="7" t="s">
        <v>2448</v>
      </c>
      <c r="I49" s="7" t="s">
        <v>2449</v>
      </c>
      <c r="J49" s="7" t="s">
        <v>2433</v>
      </c>
      <c r="K49" s="7" t="s">
        <v>2434</v>
      </c>
      <c r="L49" s="7" t="s">
        <v>2450</v>
      </c>
      <c r="M49" s="7" t="s">
        <v>2451</v>
      </c>
      <c r="N49" s="7" t="s">
        <v>2456</v>
      </c>
      <c r="O49" s="7" t="s">
        <v>2438</v>
      </c>
      <c r="P49" s="7" t="s">
        <v>2439</v>
      </c>
      <c r="Q49" s="7" t="s">
        <v>2440</v>
      </c>
      <c r="R49" s="7" t="s">
        <v>2441</v>
      </c>
      <c r="S49" s="7" t="s">
        <v>2442</v>
      </c>
    </row>
    <row r="50" customFormat="false" ht="158.2" hidden="false" customHeight="false" outlineLevel="0" collapsed="false">
      <c r="A50" s="7" t="s">
        <v>305</v>
      </c>
      <c r="B50" s="7" t="s">
        <v>2430</v>
      </c>
      <c r="C50" s="7" t="s">
        <v>302</v>
      </c>
      <c r="D50" s="7" t="s">
        <v>276</v>
      </c>
      <c r="E50" s="7" t="s">
        <v>303</v>
      </c>
      <c r="F50" s="7" t="s">
        <v>304</v>
      </c>
      <c r="G50" s="7" t="s">
        <v>154</v>
      </c>
      <c r="H50" s="7" t="s">
        <v>2443</v>
      </c>
      <c r="I50" s="7" t="s">
        <v>2444</v>
      </c>
      <c r="J50" s="7" t="s">
        <v>2433</v>
      </c>
      <c r="K50" s="7" t="s">
        <v>2434</v>
      </c>
      <c r="L50" s="7" t="s">
        <v>2445</v>
      </c>
      <c r="M50" s="7" t="s">
        <v>2446</v>
      </c>
      <c r="N50" s="7" t="s">
        <v>2456</v>
      </c>
      <c r="O50" s="7" t="s">
        <v>2438</v>
      </c>
      <c r="P50" s="7" t="s">
        <v>2439</v>
      </c>
      <c r="Q50" s="7" t="s">
        <v>2440</v>
      </c>
      <c r="R50" s="7" t="s">
        <v>2441</v>
      </c>
      <c r="S50" s="7" t="s">
        <v>2442</v>
      </c>
    </row>
    <row r="51" customFormat="false" ht="158.2" hidden="false" customHeight="false" outlineLevel="0" collapsed="false">
      <c r="A51" s="7" t="s">
        <v>308</v>
      </c>
      <c r="B51" s="7" t="s">
        <v>2430</v>
      </c>
      <c r="C51" s="7" t="s">
        <v>306</v>
      </c>
      <c r="D51" s="7" t="s">
        <v>276</v>
      </c>
      <c r="E51" s="7" t="s">
        <v>307</v>
      </c>
      <c r="F51" s="7" t="s">
        <v>304</v>
      </c>
      <c r="G51" s="7" t="s">
        <v>154</v>
      </c>
      <c r="H51" s="7" t="s">
        <v>2443</v>
      </c>
      <c r="I51" s="7" t="s">
        <v>2444</v>
      </c>
      <c r="J51" s="7" t="s">
        <v>2433</v>
      </c>
      <c r="K51" s="7" t="s">
        <v>2434</v>
      </c>
      <c r="L51" s="7" t="s">
        <v>2445</v>
      </c>
      <c r="M51" s="7" t="s">
        <v>2446</v>
      </c>
      <c r="N51" s="7" t="s">
        <v>2456</v>
      </c>
      <c r="O51" s="7" t="s">
        <v>2438</v>
      </c>
      <c r="P51" s="7" t="s">
        <v>2439</v>
      </c>
      <c r="Q51" s="7" t="s">
        <v>2440</v>
      </c>
      <c r="R51" s="7" t="s">
        <v>2441</v>
      </c>
      <c r="S51" s="7" t="s">
        <v>2442</v>
      </c>
    </row>
    <row r="52" customFormat="false" ht="158.2" hidden="false" customHeight="false" outlineLevel="0" collapsed="false">
      <c r="A52" s="7" t="s">
        <v>311</v>
      </c>
      <c r="B52" s="7" t="s">
        <v>2430</v>
      </c>
      <c r="C52" s="7" t="s">
        <v>309</v>
      </c>
      <c r="D52" s="7" t="s">
        <v>276</v>
      </c>
      <c r="E52" s="7" t="s">
        <v>310</v>
      </c>
      <c r="F52" s="7" t="s">
        <v>293</v>
      </c>
      <c r="G52" s="7" t="s">
        <v>154</v>
      </c>
      <c r="H52" s="7" t="s">
        <v>2443</v>
      </c>
      <c r="I52" s="7" t="s">
        <v>2444</v>
      </c>
      <c r="J52" s="7" t="s">
        <v>2433</v>
      </c>
      <c r="K52" s="7" t="s">
        <v>2434</v>
      </c>
      <c r="L52" s="7" t="s">
        <v>2445</v>
      </c>
      <c r="M52" s="7" t="s">
        <v>2446</v>
      </c>
      <c r="N52" s="7" t="s">
        <v>2456</v>
      </c>
      <c r="O52" s="7" t="s">
        <v>2438</v>
      </c>
      <c r="P52" s="7" t="s">
        <v>2439</v>
      </c>
      <c r="Q52" s="7" t="s">
        <v>2440</v>
      </c>
      <c r="R52" s="7" t="s">
        <v>2441</v>
      </c>
      <c r="S52" s="7" t="s">
        <v>2442</v>
      </c>
    </row>
    <row r="53" customFormat="false" ht="158.2" hidden="false" customHeight="false" outlineLevel="0" collapsed="false">
      <c r="A53" s="7" t="s">
        <v>314</v>
      </c>
      <c r="B53" s="7" t="s">
        <v>2430</v>
      </c>
      <c r="C53" s="7" t="s">
        <v>312</v>
      </c>
      <c r="D53" s="7" t="s">
        <v>276</v>
      </c>
      <c r="E53" s="7" t="s">
        <v>313</v>
      </c>
      <c r="F53" s="7" t="s">
        <v>293</v>
      </c>
      <c r="G53" s="7" t="s">
        <v>250</v>
      </c>
      <c r="H53" s="7" t="s">
        <v>2452</v>
      </c>
      <c r="I53" s="7" t="s">
        <v>2453</v>
      </c>
      <c r="J53" s="7" t="s">
        <v>2433</v>
      </c>
      <c r="K53" s="7" t="s">
        <v>2434</v>
      </c>
      <c r="L53" s="7" t="s">
        <v>2454</v>
      </c>
      <c r="M53" s="7" t="s">
        <v>2455</v>
      </c>
      <c r="N53" s="7" t="s">
        <v>2456</v>
      </c>
      <c r="O53" s="7" t="s">
        <v>2438</v>
      </c>
      <c r="P53" s="7" t="s">
        <v>2439</v>
      </c>
      <c r="Q53" s="7" t="s">
        <v>2440</v>
      </c>
      <c r="R53" s="7" t="s">
        <v>2441</v>
      </c>
      <c r="S53" s="7" t="s">
        <v>2442</v>
      </c>
    </row>
    <row r="54" customFormat="false" ht="158.2" hidden="false" customHeight="false" outlineLevel="0" collapsed="false">
      <c r="A54" s="7" t="s">
        <v>317</v>
      </c>
      <c r="B54" s="7" t="s">
        <v>2430</v>
      </c>
      <c r="C54" s="7" t="s">
        <v>315</v>
      </c>
      <c r="D54" s="7" t="s">
        <v>276</v>
      </c>
      <c r="E54" s="7" t="s">
        <v>316</v>
      </c>
      <c r="F54" s="7" t="s">
        <v>293</v>
      </c>
      <c r="G54" s="7" t="s">
        <v>154</v>
      </c>
      <c r="H54" s="7" t="s">
        <v>2443</v>
      </c>
      <c r="I54" s="7" t="s">
        <v>2444</v>
      </c>
      <c r="J54" s="7" t="s">
        <v>2433</v>
      </c>
      <c r="K54" s="7" t="s">
        <v>2434</v>
      </c>
      <c r="L54" s="7" t="s">
        <v>2445</v>
      </c>
      <c r="M54" s="7" t="s">
        <v>2446</v>
      </c>
      <c r="N54" s="7" t="s">
        <v>2456</v>
      </c>
      <c r="O54" s="7" t="s">
        <v>2438</v>
      </c>
      <c r="P54" s="7" t="s">
        <v>2439</v>
      </c>
      <c r="Q54" s="7" t="s">
        <v>2440</v>
      </c>
      <c r="R54" s="7" t="s">
        <v>2441</v>
      </c>
      <c r="S54" s="7" t="s">
        <v>2442</v>
      </c>
    </row>
    <row r="55" customFormat="false" ht="158.2" hidden="false" customHeight="false" outlineLevel="0" collapsed="false">
      <c r="A55" s="7" t="s">
        <v>320</v>
      </c>
      <c r="B55" s="7" t="s">
        <v>2430</v>
      </c>
      <c r="C55" s="7" t="s">
        <v>318</v>
      </c>
      <c r="D55" s="7" t="s">
        <v>276</v>
      </c>
      <c r="E55" s="7" t="s">
        <v>319</v>
      </c>
      <c r="F55" s="7" t="s">
        <v>293</v>
      </c>
      <c r="G55" s="7" t="s">
        <v>197</v>
      </c>
      <c r="H55" s="7" t="s">
        <v>2448</v>
      </c>
      <c r="I55" s="7" t="s">
        <v>2449</v>
      </c>
      <c r="J55" s="7" t="s">
        <v>2433</v>
      </c>
      <c r="K55" s="7" t="s">
        <v>2434</v>
      </c>
      <c r="L55" s="7" t="s">
        <v>2450</v>
      </c>
      <c r="M55" s="7" t="s">
        <v>2451</v>
      </c>
      <c r="N55" s="7" t="s">
        <v>2456</v>
      </c>
      <c r="O55" s="7" t="s">
        <v>2438</v>
      </c>
      <c r="P55" s="7" t="s">
        <v>2439</v>
      </c>
      <c r="Q55" s="7" t="s">
        <v>2440</v>
      </c>
      <c r="R55" s="7" t="s">
        <v>2441</v>
      </c>
      <c r="S55" s="7" t="s">
        <v>2442</v>
      </c>
    </row>
    <row r="56" customFormat="false" ht="158.2" hidden="false" customHeight="false" outlineLevel="0" collapsed="false">
      <c r="A56" s="7" t="s">
        <v>324</v>
      </c>
      <c r="B56" s="7" t="s">
        <v>2430</v>
      </c>
      <c r="C56" s="7" t="s">
        <v>321</v>
      </c>
      <c r="D56" s="7" t="s">
        <v>276</v>
      </c>
      <c r="E56" s="7" t="s">
        <v>322</v>
      </c>
      <c r="F56" s="7" t="s">
        <v>323</v>
      </c>
      <c r="G56" s="7" t="s">
        <v>154</v>
      </c>
      <c r="H56" s="7" t="s">
        <v>2443</v>
      </c>
      <c r="I56" s="7" t="s">
        <v>2444</v>
      </c>
      <c r="J56" s="7" t="s">
        <v>2433</v>
      </c>
      <c r="K56" s="7" t="s">
        <v>2434</v>
      </c>
      <c r="L56" s="7" t="s">
        <v>2445</v>
      </c>
      <c r="M56" s="7" t="s">
        <v>2446</v>
      </c>
      <c r="N56" s="7" t="s">
        <v>2456</v>
      </c>
      <c r="O56" s="7" t="s">
        <v>2438</v>
      </c>
      <c r="P56" s="7" t="s">
        <v>2439</v>
      </c>
      <c r="Q56" s="7" t="s">
        <v>2440</v>
      </c>
      <c r="R56" s="7" t="s">
        <v>2441</v>
      </c>
      <c r="S56" s="7" t="s">
        <v>2442</v>
      </c>
    </row>
    <row r="57" customFormat="false" ht="158.2" hidden="false" customHeight="false" outlineLevel="0" collapsed="false">
      <c r="A57" s="7" t="s">
        <v>327</v>
      </c>
      <c r="B57" s="7" t="s">
        <v>2430</v>
      </c>
      <c r="C57" s="7" t="s">
        <v>325</v>
      </c>
      <c r="D57" s="7" t="s">
        <v>276</v>
      </c>
      <c r="E57" s="7" t="s">
        <v>326</v>
      </c>
      <c r="F57" s="7" t="s">
        <v>323</v>
      </c>
      <c r="G57" s="7" t="s">
        <v>154</v>
      </c>
      <c r="H57" s="7" t="s">
        <v>2443</v>
      </c>
      <c r="I57" s="7" t="s">
        <v>2444</v>
      </c>
      <c r="J57" s="7" t="s">
        <v>2433</v>
      </c>
      <c r="K57" s="7" t="s">
        <v>2434</v>
      </c>
      <c r="L57" s="7" t="s">
        <v>2445</v>
      </c>
      <c r="M57" s="7" t="s">
        <v>2446</v>
      </c>
      <c r="N57" s="7" t="s">
        <v>2456</v>
      </c>
      <c r="O57" s="7" t="s">
        <v>2438</v>
      </c>
      <c r="P57" s="7" t="s">
        <v>2439</v>
      </c>
      <c r="Q57" s="7" t="s">
        <v>2440</v>
      </c>
      <c r="R57" s="7" t="s">
        <v>2441</v>
      </c>
      <c r="S57" s="7" t="s">
        <v>2442</v>
      </c>
    </row>
    <row r="58" customFormat="false" ht="158.2" hidden="false" customHeight="false" outlineLevel="0" collapsed="false">
      <c r="A58" s="7" t="s">
        <v>332</v>
      </c>
      <c r="B58" s="7" t="s">
        <v>2430</v>
      </c>
      <c r="C58" s="7" t="s">
        <v>328</v>
      </c>
      <c r="D58" s="7" t="s">
        <v>329</v>
      </c>
      <c r="E58" s="7" t="s">
        <v>330</v>
      </c>
      <c r="F58" s="7" t="s">
        <v>331</v>
      </c>
      <c r="G58" s="7" t="s">
        <v>154</v>
      </c>
      <c r="H58" s="7" t="s">
        <v>2443</v>
      </c>
      <c r="I58" s="7" t="s">
        <v>2444</v>
      </c>
      <c r="J58" s="7" t="s">
        <v>2433</v>
      </c>
      <c r="K58" s="7" t="s">
        <v>2434</v>
      </c>
      <c r="L58" s="7" t="s">
        <v>2445</v>
      </c>
      <c r="M58" s="7" t="s">
        <v>2446</v>
      </c>
      <c r="N58" s="7" t="s">
        <v>2457</v>
      </c>
      <c r="O58" s="7" t="s">
        <v>2438</v>
      </c>
      <c r="P58" s="7" t="s">
        <v>2439</v>
      </c>
      <c r="Q58" s="7" t="s">
        <v>2440</v>
      </c>
      <c r="R58" s="7" t="s">
        <v>2441</v>
      </c>
      <c r="S58" s="7" t="s">
        <v>2442</v>
      </c>
    </row>
    <row r="59" customFormat="false" ht="158.2" hidden="false" customHeight="false" outlineLevel="0" collapsed="false">
      <c r="A59" s="7" t="s">
        <v>336</v>
      </c>
      <c r="B59" s="7" t="s">
        <v>2430</v>
      </c>
      <c r="C59" s="7" t="s">
        <v>334</v>
      </c>
      <c r="D59" s="7" t="s">
        <v>329</v>
      </c>
      <c r="E59" s="7" t="s">
        <v>335</v>
      </c>
      <c r="F59" s="7" t="s">
        <v>331</v>
      </c>
      <c r="G59" s="7" t="s">
        <v>154</v>
      </c>
      <c r="H59" s="7" t="s">
        <v>2443</v>
      </c>
      <c r="I59" s="7" t="s">
        <v>2444</v>
      </c>
      <c r="J59" s="7" t="s">
        <v>2433</v>
      </c>
      <c r="K59" s="7" t="s">
        <v>2434</v>
      </c>
      <c r="L59" s="7" t="s">
        <v>2445</v>
      </c>
      <c r="M59" s="7" t="s">
        <v>2446</v>
      </c>
      <c r="N59" s="7" t="s">
        <v>2457</v>
      </c>
      <c r="O59" s="7" t="s">
        <v>2438</v>
      </c>
      <c r="P59" s="7" t="s">
        <v>2439</v>
      </c>
      <c r="Q59" s="7" t="s">
        <v>2440</v>
      </c>
      <c r="R59" s="7" t="s">
        <v>2441</v>
      </c>
      <c r="S59" s="7" t="s">
        <v>2442</v>
      </c>
    </row>
    <row r="60" customFormat="false" ht="158.2" hidden="false" customHeight="false" outlineLevel="0" collapsed="false">
      <c r="A60" s="7" t="s">
        <v>339</v>
      </c>
      <c r="B60" s="7" t="s">
        <v>2430</v>
      </c>
      <c r="C60" s="7" t="s">
        <v>337</v>
      </c>
      <c r="D60" s="7" t="s">
        <v>329</v>
      </c>
      <c r="E60" s="7" t="s">
        <v>338</v>
      </c>
      <c r="F60" s="7" t="s">
        <v>331</v>
      </c>
      <c r="G60" s="7" t="s">
        <v>250</v>
      </c>
      <c r="H60" s="7" t="s">
        <v>2452</v>
      </c>
      <c r="I60" s="7" t="s">
        <v>2453</v>
      </c>
      <c r="J60" s="7" t="s">
        <v>2433</v>
      </c>
      <c r="K60" s="7" t="s">
        <v>2434</v>
      </c>
      <c r="L60" s="7" t="s">
        <v>2454</v>
      </c>
      <c r="M60" s="7" t="s">
        <v>2455</v>
      </c>
      <c r="N60" s="7" t="s">
        <v>2457</v>
      </c>
      <c r="O60" s="7" t="s">
        <v>2438</v>
      </c>
      <c r="P60" s="7" t="s">
        <v>2439</v>
      </c>
      <c r="Q60" s="7" t="s">
        <v>2440</v>
      </c>
      <c r="R60" s="7" t="s">
        <v>2441</v>
      </c>
      <c r="S60" s="7" t="s">
        <v>2442</v>
      </c>
    </row>
    <row r="61" customFormat="false" ht="158.2" hidden="false" customHeight="false" outlineLevel="0" collapsed="false">
      <c r="A61" s="7" t="s">
        <v>343</v>
      </c>
      <c r="B61" s="7" t="s">
        <v>2430</v>
      </c>
      <c r="C61" s="7" t="s">
        <v>340</v>
      </c>
      <c r="D61" s="7" t="s">
        <v>329</v>
      </c>
      <c r="E61" s="7" t="s">
        <v>341</v>
      </c>
      <c r="F61" s="7" t="s">
        <v>342</v>
      </c>
      <c r="G61" s="7" t="s">
        <v>154</v>
      </c>
      <c r="H61" s="7" t="s">
        <v>2443</v>
      </c>
      <c r="I61" s="7" t="s">
        <v>2444</v>
      </c>
      <c r="J61" s="7" t="s">
        <v>2433</v>
      </c>
      <c r="K61" s="7" t="s">
        <v>2434</v>
      </c>
      <c r="L61" s="7" t="s">
        <v>2445</v>
      </c>
      <c r="M61" s="7" t="s">
        <v>2446</v>
      </c>
      <c r="N61" s="7" t="s">
        <v>2457</v>
      </c>
      <c r="O61" s="7" t="s">
        <v>2438</v>
      </c>
      <c r="P61" s="7" t="s">
        <v>2439</v>
      </c>
      <c r="Q61" s="7" t="s">
        <v>2440</v>
      </c>
      <c r="R61" s="7" t="s">
        <v>2441</v>
      </c>
      <c r="S61" s="7" t="s">
        <v>2442</v>
      </c>
    </row>
    <row r="62" customFormat="false" ht="158.2" hidden="false" customHeight="false" outlineLevel="0" collapsed="false">
      <c r="A62" s="7" t="s">
        <v>346</v>
      </c>
      <c r="B62" s="7" t="s">
        <v>2430</v>
      </c>
      <c r="C62" s="7" t="s">
        <v>344</v>
      </c>
      <c r="D62" s="7" t="s">
        <v>329</v>
      </c>
      <c r="E62" s="7" t="s">
        <v>345</v>
      </c>
      <c r="F62" s="7" t="s">
        <v>342</v>
      </c>
      <c r="G62" s="7" t="s">
        <v>347</v>
      </c>
      <c r="H62" s="7" t="s">
        <v>2458</v>
      </c>
      <c r="I62" s="7" t="s">
        <v>2459</v>
      </c>
      <c r="J62" s="7" t="s">
        <v>2433</v>
      </c>
      <c r="K62" s="7" t="s">
        <v>2434</v>
      </c>
      <c r="L62" s="7" t="s">
        <v>2460</v>
      </c>
      <c r="M62" s="7" t="s">
        <v>2461</v>
      </c>
      <c r="N62" s="7" t="s">
        <v>2457</v>
      </c>
      <c r="O62" s="7" t="s">
        <v>2438</v>
      </c>
      <c r="P62" s="7" t="s">
        <v>2439</v>
      </c>
      <c r="Q62" s="7" t="s">
        <v>2440</v>
      </c>
      <c r="R62" s="7" t="s">
        <v>2441</v>
      </c>
      <c r="S62" s="7" t="s">
        <v>2442</v>
      </c>
    </row>
    <row r="63" customFormat="false" ht="158.2" hidden="false" customHeight="false" outlineLevel="0" collapsed="false">
      <c r="A63" s="7" t="s">
        <v>352</v>
      </c>
      <c r="B63" s="7" t="s">
        <v>2430</v>
      </c>
      <c r="C63" s="7" t="s">
        <v>348</v>
      </c>
      <c r="D63" s="7" t="s">
        <v>349</v>
      </c>
      <c r="E63" s="7" t="s">
        <v>350</v>
      </c>
      <c r="F63" s="7" t="s">
        <v>351</v>
      </c>
      <c r="G63" s="7" t="s">
        <v>154</v>
      </c>
      <c r="H63" s="7" t="s">
        <v>2443</v>
      </c>
      <c r="I63" s="7" t="s">
        <v>2444</v>
      </c>
      <c r="J63" s="7" t="s">
        <v>2433</v>
      </c>
      <c r="K63" s="7" t="s">
        <v>2434</v>
      </c>
      <c r="L63" s="7" t="s">
        <v>2445</v>
      </c>
      <c r="M63" s="7" t="s">
        <v>2446</v>
      </c>
      <c r="N63" s="7" t="s">
        <v>2462</v>
      </c>
      <c r="O63" s="7" t="s">
        <v>2438</v>
      </c>
      <c r="P63" s="7" t="s">
        <v>2439</v>
      </c>
      <c r="Q63" s="7" t="s">
        <v>2440</v>
      </c>
      <c r="R63" s="7" t="s">
        <v>2441</v>
      </c>
      <c r="S63" s="7" t="s">
        <v>2442</v>
      </c>
    </row>
    <row r="64" customFormat="false" ht="158.2" hidden="false" customHeight="false" outlineLevel="0" collapsed="false">
      <c r="A64" s="7" t="s">
        <v>356</v>
      </c>
      <c r="B64" s="7" t="s">
        <v>2430</v>
      </c>
      <c r="C64" s="7" t="s">
        <v>354</v>
      </c>
      <c r="D64" s="7" t="s">
        <v>349</v>
      </c>
      <c r="E64" s="7" t="s">
        <v>355</v>
      </c>
      <c r="F64" s="7" t="s">
        <v>351</v>
      </c>
      <c r="G64" s="7" t="s">
        <v>154</v>
      </c>
      <c r="H64" s="7" t="s">
        <v>2443</v>
      </c>
      <c r="I64" s="7" t="s">
        <v>2444</v>
      </c>
      <c r="J64" s="7" t="s">
        <v>2433</v>
      </c>
      <c r="K64" s="7" t="s">
        <v>2434</v>
      </c>
      <c r="L64" s="7" t="s">
        <v>2445</v>
      </c>
      <c r="M64" s="7" t="s">
        <v>2446</v>
      </c>
      <c r="N64" s="7" t="s">
        <v>2462</v>
      </c>
      <c r="O64" s="7" t="s">
        <v>2438</v>
      </c>
      <c r="P64" s="7" t="s">
        <v>2439</v>
      </c>
      <c r="Q64" s="7" t="s">
        <v>2440</v>
      </c>
      <c r="R64" s="7" t="s">
        <v>2441</v>
      </c>
      <c r="S64" s="7" t="s">
        <v>2442</v>
      </c>
    </row>
    <row r="65" customFormat="false" ht="158.2" hidden="false" customHeight="false" outlineLevel="0" collapsed="false">
      <c r="A65" s="7" t="s">
        <v>359</v>
      </c>
      <c r="B65" s="7" t="s">
        <v>2430</v>
      </c>
      <c r="C65" s="7" t="s">
        <v>357</v>
      </c>
      <c r="D65" s="7" t="s">
        <v>349</v>
      </c>
      <c r="E65" s="7" t="s">
        <v>358</v>
      </c>
      <c r="F65" s="7" t="s">
        <v>351</v>
      </c>
      <c r="G65" s="7" t="s">
        <v>197</v>
      </c>
      <c r="H65" s="7" t="s">
        <v>2448</v>
      </c>
      <c r="I65" s="7" t="s">
        <v>2449</v>
      </c>
      <c r="J65" s="7" t="s">
        <v>2433</v>
      </c>
      <c r="K65" s="7" t="s">
        <v>2434</v>
      </c>
      <c r="L65" s="7" t="s">
        <v>2450</v>
      </c>
      <c r="M65" s="7" t="s">
        <v>2451</v>
      </c>
      <c r="N65" s="7" t="s">
        <v>2462</v>
      </c>
      <c r="O65" s="7" t="s">
        <v>2438</v>
      </c>
      <c r="P65" s="7" t="s">
        <v>2439</v>
      </c>
      <c r="Q65" s="7" t="s">
        <v>2440</v>
      </c>
      <c r="R65" s="7" t="s">
        <v>2441</v>
      </c>
      <c r="S65" s="7" t="s">
        <v>2442</v>
      </c>
    </row>
    <row r="66" customFormat="false" ht="158.2" hidden="false" customHeight="false" outlineLevel="0" collapsed="false">
      <c r="A66" s="7" t="s">
        <v>362</v>
      </c>
      <c r="B66" s="7" t="s">
        <v>2430</v>
      </c>
      <c r="C66" s="7" t="s">
        <v>360</v>
      </c>
      <c r="D66" s="7" t="s">
        <v>349</v>
      </c>
      <c r="E66" s="7" t="s">
        <v>361</v>
      </c>
      <c r="F66" s="7" t="s">
        <v>351</v>
      </c>
      <c r="G66" s="7" t="s">
        <v>154</v>
      </c>
      <c r="H66" s="7" t="s">
        <v>2443</v>
      </c>
      <c r="I66" s="7" t="s">
        <v>2444</v>
      </c>
      <c r="J66" s="7" t="s">
        <v>2433</v>
      </c>
      <c r="K66" s="7" t="s">
        <v>2434</v>
      </c>
      <c r="L66" s="7" t="s">
        <v>2445</v>
      </c>
      <c r="M66" s="7" t="s">
        <v>2446</v>
      </c>
      <c r="N66" s="7" t="s">
        <v>2462</v>
      </c>
      <c r="O66" s="7" t="s">
        <v>2438</v>
      </c>
      <c r="P66" s="7" t="s">
        <v>2439</v>
      </c>
      <c r="Q66" s="7" t="s">
        <v>2440</v>
      </c>
      <c r="R66" s="7" t="s">
        <v>2441</v>
      </c>
      <c r="S66" s="7" t="s">
        <v>2442</v>
      </c>
    </row>
    <row r="67" customFormat="false" ht="158.2" hidden="false" customHeight="false" outlineLevel="0" collapsed="false">
      <c r="A67" s="7" t="s">
        <v>366</v>
      </c>
      <c r="B67" s="7" t="s">
        <v>2430</v>
      </c>
      <c r="C67" s="7" t="s">
        <v>363</v>
      </c>
      <c r="D67" s="7" t="s">
        <v>349</v>
      </c>
      <c r="E67" s="7" t="s">
        <v>364</v>
      </c>
      <c r="F67" s="7" t="s">
        <v>365</v>
      </c>
      <c r="G67" s="7" t="s">
        <v>367</v>
      </c>
      <c r="H67" s="7" t="s">
        <v>2463</v>
      </c>
      <c r="I67" s="7" t="s">
        <v>2464</v>
      </c>
      <c r="J67" s="7" t="s">
        <v>2433</v>
      </c>
      <c r="K67" s="7" t="s">
        <v>2434</v>
      </c>
      <c r="L67" s="7" t="s">
        <v>2465</v>
      </c>
      <c r="M67" s="7" t="s">
        <v>2466</v>
      </c>
      <c r="N67" s="7" t="s">
        <v>2462</v>
      </c>
      <c r="O67" s="7" t="s">
        <v>2438</v>
      </c>
      <c r="P67" s="7" t="s">
        <v>2439</v>
      </c>
      <c r="Q67" s="7" t="s">
        <v>2440</v>
      </c>
      <c r="R67" s="7" t="s">
        <v>2441</v>
      </c>
      <c r="S67" s="7" t="s">
        <v>2442</v>
      </c>
    </row>
    <row r="68" customFormat="false" ht="158.2" hidden="false" customHeight="false" outlineLevel="0" collapsed="false">
      <c r="A68" s="7" t="s">
        <v>372</v>
      </c>
      <c r="B68" s="7" t="s">
        <v>2430</v>
      </c>
      <c r="C68" s="7" t="s">
        <v>369</v>
      </c>
      <c r="D68" s="7" t="s">
        <v>349</v>
      </c>
      <c r="E68" s="7" t="s">
        <v>370</v>
      </c>
      <c r="F68" s="7" t="s">
        <v>371</v>
      </c>
      <c r="G68" s="7" t="s">
        <v>154</v>
      </c>
      <c r="H68" s="7" t="s">
        <v>2443</v>
      </c>
      <c r="I68" s="7" t="s">
        <v>2444</v>
      </c>
      <c r="J68" s="7" t="s">
        <v>2433</v>
      </c>
      <c r="K68" s="7" t="s">
        <v>2434</v>
      </c>
      <c r="L68" s="7" t="s">
        <v>2445</v>
      </c>
      <c r="M68" s="7" t="s">
        <v>2446</v>
      </c>
      <c r="N68" s="7" t="s">
        <v>2462</v>
      </c>
      <c r="O68" s="7" t="s">
        <v>2438</v>
      </c>
      <c r="P68" s="7" t="s">
        <v>2439</v>
      </c>
      <c r="Q68" s="7" t="s">
        <v>2440</v>
      </c>
      <c r="R68" s="7" t="s">
        <v>2441</v>
      </c>
      <c r="S68" s="7" t="s">
        <v>2442</v>
      </c>
    </row>
    <row r="69" customFormat="false" ht="158.2" hidden="false" customHeight="false" outlineLevel="0" collapsed="false">
      <c r="A69" s="7" t="s">
        <v>375</v>
      </c>
      <c r="B69" s="7" t="s">
        <v>2430</v>
      </c>
      <c r="C69" s="7" t="s">
        <v>373</v>
      </c>
      <c r="D69" s="7" t="s">
        <v>349</v>
      </c>
      <c r="E69" s="7" t="s">
        <v>374</v>
      </c>
      <c r="F69" s="7" t="s">
        <v>371</v>
      </c>
      <c r="G69" s="7" t="s">
        <v>154</v>
      </c>
      <c r="H69" s="7" t="s">
        <v>2443</v>
      </c>
      <c r="I69" s="7" t="s">
        <v>2444</v>
      </c>
      <c r="J69" s="7" t="s">
        <v>2433</v>
      </c>
      <c r="K69" s="7" t="s">
        <v>2434</v>
      </c>
      <c r="L69" s="7" t="s">
        <v>2445</v>
      </c>
      <c r="M69" s="7" t="s">
        <v>2446</v>
      </c>
      <c r="N69" s="7" t="s">
        <v>2462</v>
      </c>
      <c r="O69" s="7" t="s">
        <v>2438</v>
      </c>
      <c r="P69" s="7" t="s">
        <v>2439</v>
      </c>
      <c r="Q69" s="7" t="s">
        <v>2440</v>
      </c>
      <c r="R69" s="7" t="s">
        <v>2441</v>
      </c>
      <c r="S69" s="7" t="s">
        <v>2442</v>
      </c>
    </row>
    <row r="70" customFormat="false" ht="158.2" hidden="false" customHeight="false" outlineLevel="0" collapsed="false">
      <c r="A70" s="7" t="s">
        <v>378</v>
      </c>
      <c r="B70" s="7" t="s">
        <v>2430</v>
      </c>
      <c r="C70" s="7" t="s">
        <v>376</v>
      </c>
      <c r="D70" s="7" t="s">
        <v>349</v>
      </c>
      <c r="E70" s="7" t="s">
        <v>377</v>
      </c>
      <c r="F70" s="7" t="s">
        <v>371</v>
      </c>
      <c r="G70" s="7" t="s">
        <v>154</v>
      </c>
      <c r="H70" s="7" t="s">
        <v>2443</v>
      </c>
      <c r="I70" s="7" t="s">
        <v>2444</v>
      </c>
      <c r="J70" s="7" t="s">
        <v>2433</v>
      </c>
      <c r="K70" s="7" t="s">
        <v>2434</v>
      </c>
      <c r="L70" s="7" t="s">
        <v>2445</v>
      </c>
      <c r="M70" s="7" t="s">
        <v>2446</v>
      </c>
      <c r="N70" s="7" t="s">
        <v>2462</v>
      </c>
      <c r="O70" s="7" t="s">
        <v>2438</v>
      </c>
      <c r="P70" s="7" t="s">
        <v>2439</v>
      </c>
      <c r="Q70" s="7" t="s">
        <v>2440</v>
      </c>
      <c r="R70" s="7" t="s">
        <v>2441</v>
      </c>
      <c r="S70" s="7" t="s">
        <v>2442</v>
      </c>
    </row>
    <row r="71" customFormat="false" ht="158.2" hidden="false" customHeight="false" outlineLevel="0" collapsed="false">
      <c r="A71" s="7" t="s">
        <v>382</v>
      </c>
      <c r="B71" s="7" t="s">
        <v>2430</v>
      </c>
      <c r="C71" s="7" t="s">
        <v>379</v>
      </c>
      <c r="D71" s="7" t="s">
        <v>349</v>
      </c>
      <c r="E71" s="7" t="s">
        <v>380</v>
      </c>
      <c r="F71" s="7" t="s">
        <v>381</v>
      </c>
      <c r="G71" s="7" t="s">
        <v>154</v>
      </c>
      <c r="H71" s="7" t="s">
        <v>2443</v>
      </c>
      <c r="I71" s="7" t="s">
        <v>2444</v>
      </c>
      <c r="J71" s="7" t="s">
        <v>2433</v>
      </c>
      <c r="K71" s="7" t="s">
        <v>2434</v>
      </c>
      <c r="L71" s="7" t="s">
        <v>2445</v>
      </c>
      <c r="M71" s="7" t="s">
        <v>2446</v>
      </c>
      <c r="N71" s="7" t="s">
        <v>2462</v>
      </c>
      <c r="O71" s="7" t="s">
        <v>2438</v>
      </c>
      <c r="P71" s="7" t="s">
        <v>2439</v>
      </c>
      <c r="Q71" s="7" t="s">
        <v>2440</v>
      </c>
      <c r="R71" s="7" t="s">
        <v>2441</v>
      </c>
      <c r="S71" s="7" t="s">
        <v>2442</v>
      </c>
    </row>
    <row r="72" customFormat="false" ht="158.2" hidden="false" customHeight="false" outlineLevel="0" collapsed="false">
      <c r="A72" s="7" t="s">
        <v>385</v>
      </c>
      <c r="B72" s="7" t="s">
        <v>2430</v>
      </c>
      <c r="C72" s="7" t="s">
        <v>383</v>
      </c>
      <c r="D72" s="7" t="s">
        <v>349</v>
      </c>
      <c r="E72" s="7" t="s">
        <v>384</v>
      </c>
      <c r="F72" s="7" t="s">
        <v>381</v>
      </c>
      <c r="G72" s="7" t="s">
        <v>154</v>
      </c>
      <c r="H72" s="7" t="s">
        <v>2443</v>
      </c>
      <c r="I72" s="7" t="s">
        <v>2444</v>
      </c>
      <c r="J72" s="7" t="s">
        <v>2433</v>
      </c>
      <c r="K72" s="7" t="s">
        <v>2434</v>
      </c>
      <c r="L72" s="7" t="s">
        <v>2445</v>
      </c>
      <c r="M72" s="7" t="s">
        <v>2446</v>
      </c>
      <c r="N72" s="7" t="s">
        <v>2462</v>
      </c>
      <c r="O72" s="7" t="s">
        <v>2438</v>
      </c>
      <c r="P72" s="7" t="s">
        <v>2439</v>
      </c>
      <c r="Q72" s="7" t="s">
        <v>2440</v>
      </c>
      <c r="R72" s="7" t="s">
        <v>2441</v>
      </c>
      <c r="S72" s="7" t="s">
        <v>2442</v>
      </c>
    </row>
    <row r="73" customFormat="false" ht="158.2" hidden="false" customHeight="false" outlineLevel="0" collapsed="false">
      <c r="A73" s="7" t="s">
        <v>388</v>
      </c>
      <c r="B73" s="7" t="s">
        <v>2430</v>
      </c>
      <c r="C73" s="7" t="s">
        <v>386</v>
      </c>
      <c r="D73" s="7" t="s">
        <v>349</v>
      </c>
      <c r="E73" s="7" t="s">
        <v>387</v>
      </c>
      <c r="F73" s="7" t="s">
        <v>381</v>
      </c>
      <c r="G73" s="7" t="s">
        <v>154</v>
      </c>
      <c r="H73" s="7" t="s">
        <v>2443</v>
      </c>
      <c r="I73" s="7" t="s">
        <v>2444</v>
      </c>
      <c r="J73" s="7" t="s">
        <v>2433</v>
      </c>
      <c r="K73" s="7" t="s">
        <v>2434</v>
      </c>
      <c r="L73" s="7" t="s">
        <v>2445</v>
      </c>
      <c r="M73" s="7" t="s">
        <v>2446</v>
      </c>
      <c r="N73" s="7" t="s">
        <v>2462</v>
      </c>
      <c r="O73" s="7" t="s">
        <v>2438</v>
      </c>
      <c r="P73" s="7" t="s">
        <v>2439</v>
      </c>
      <c r="Q73" s="7" t="s">
        <v>2440</v>
      </c>
      <c r="R73" s="7" t="s">
        <v>2441</v>
      </c>
      <c r="S73" s="7" t="s">
        <v>2442</v>
      </c>
    </row>
    <row r="74" customFormat="false" ht="158.2" hidden="false" customHeight="false" outlineLevel="0" collapsed="false">
      <c r="A74" s="7" t="s">
        <v>391</v>
      </c>
      <c r="B74" s="7" t="s">
        <v>2430</v>
      </c>
      <c r="C74" s="7" t="s">
        <v>389</v>
      </c>
      <c r="D74" s="7" t="s">
        <v>349</v>
      </c>
      <c r="E74" s="7" t="s">
        <v>390</v>
      </c>
      <c r="F74" s="7" t="s">
        <v>381</v>
      </c>
      <c r="G74" s="7" t="s">
        <v>154</v>
      </c>
      <c r="H74" s="7" t="s">
        <v>2443</v>
      </c>
      <c r="I74" s="7" t="s">
        <v>2444</v>
      </c>
      <c r="J74" s="7" t="s">
        <v>2433</v>
      </c>
      <c r="K74" s="7" t="s">
        <v>2434</v>
      </c>
      <c r="L74" s="7" t="s">
        <v>2445</v>
      </c>
      <c r="M74" s="7" t="s">
        <v>2446</v>
      </c>
      <c r="N74" s="7" t="s">
        <v>2462</v>
      </c>
      <c r="O74" s="7" t="s">
        <v>2438</v>
      </c>
      <c r="P74" s="7" t="s">
        <v>2439</v>
      </c>
      <c r="Q74" s="7" t="s">
        <v>2440</v>
      </c>
      <c r="R74" s="7" t="s">
        <v>2441</v>
      </c>
      <c r="S74" s="7" t="s">
        <v>2442</v>
      </c>
    </row>
    <row r="75" customFormat="false" ht="158.2" hidden="false" customHeight="false" outlineLevel="0" collapsed="false">
      <c r="A75" s="7" t="s">
        <v>395</v>
      </c>
      <c r="B75" s="7" t="s">
        <v>2430</v>
      </c>
      <c r="C75" s="7" t="s">
        <v>392</v>
      </c>
      <c r="D75" s="7" t="s">
        <v>349</v>
      </c>
      <c r="E75" s="7" t="s">
        <v>393</v>
      </c>
      <c r="F75" s="7" t="s">
        <v>394</v>
      </c>
      <c r="G75" s="7" t="s">
        <v>154</v>
      </c>
      <c r="H75" s="7" t="s">
        <v>2443</v>
      </c>
      <c r="I75" s="7" t="s">
        <v>2444</v>
      </c>
      <c r="J75" s="7" t="s">
        <v>2433</v>
      </c>
      <c r="K75" s="7" t="s">
        <v>2434</v>
      </c>
      <c r="L75" s="7" t="s">
        <v>2445</v>
      </c>
      <c r="M75" s="7" t="s">
        <v>2446</v>
      </c>
      <c r="N75" s="7" t="s">
        <v>2462</v>
      </c>
      <c r="O75" s="7" t="s">
        <v>2438</v>
      </c>
      <c r="P75" s="7" t="s">
        <v>2439</v>
      </c>
      <c r="Q75" s="7" t="s">
        <v>2440</v>
      </c>
      <c r="R75" s="7" t="s">
        <v>2441</v>
      </c>
      <c r="S75" s="7" t="s">
        <v>2442</v>
      </c>
    </row>
    <row r="76" customFormat="false" ht="158.2" hidden="false" customHeight="false" outlineLevel="0" collapsed="false">
      <c r="A76" s="7" t="s">
        <v>398</v>
      </c>
      <c r="B76" s="7" t="s">
        <v>2430</v>
      </c>
      <c r="C76" s="7" t="s">
        <v>396</v>
      </c>
      <c r="D76" s="7" t="s">
        <v>349</v>
      </c>
      <c r="E76" s="7" t="s">
        <v>397</v>
      </c>
      <c r="F76" s="7" t="s">
        <v>394</v>
      </c>
      <c r="G76" s="7" t="s">
        <v>154</v>
      </c>
      <c r="H76" s="7" t="s">
        <v>2443</v>
      </c>
      <c r="I76" s="7" t="s">
        <v>2444</v>
      </c>
      <c r="J76" s="7" t="s">
        <v>2433</v>
      </c>
      <c r="K76" s="7" t="s">
        <v>2434</v>
      </c>
      <c r="L76" s="7" t="s">
        <v>2445</v>
      </c>
      <c r="M76" s="7" t="s">
        <v>2446</v>
      </c>
      <c r="N76" s="7" t="s">
        <v>2462</v>
      </c>
      <c r="O76" s="7" t="s">
        <v>2438</v>
      </c>
      <c r="P76" s="7" t="s">
        <v>2439</v>
      </c>
      <c r="Q76" s="7" t="s">
        <v>2440</v>
      </c>
      <c r="R76" s="7" t="s">
        <v>2441</v>
      </c>
      <c r="S76" s="7" t="s">
        <v>2442</v>
      </c>
    </row>
    <row r="77" customFormat="false" ht="158.2" hidden="false" customHeight="false" outlineLevel="0" collapsed="false">
      <c r="A77" s="7" t="s">
        <v>401</v>
      </c>
      <c r="B77" s="7" t="s">
        <v>2430</v>
      </c>
      <c r="C77" s="7" t="s">
        <v>399</v>
      </c>
      <c r="D77" s="7" t="s">
        <v>349</v>
      </c>
      <c r="E77" s="7" t="s">
        <v>400</v>
      </c>
      <c r="F77" s="7" t="s">
        <v>394</v>
      </c>
      <c r="G77" s="7" t="s">
        <v>250</v>
      </c>
      <c r="H77" s="7" t="s">
        <v>2452</v>
      </c>
      <c r="I77" s="7" t="s">
        <v>2453</v>
      </c>
      <c r="J77" s="7" t="s">
        <v>2433</v>
      </c>
      <c r="K77" s="7" t="s">
        <v>2434</v>
      </c>
      <c r="L77" s="7" t="s">
        <v>2454</v>
      </c>
      <c r="M77" s="7" t="s">
        <v>2455</v>
      </c>
      <c r="N77" s="7" t="s">
        <v>2462</v>
      </c>
      <c r="O77" s="7" t="s">
        <v>2438</v>
      </c>
      <c r="P77" s="7" t="s">
        <v>2439</v>
      </c>
      <c r="Q77" s="7" t="s">
        <v>2440</v>
      </c>
      <c r="R77" s="7" t="s">
        <v>2441</v>
      </c>
      <c r="S77" s="7" t="s">
        <v>2442</v>
      </c>
    </row>
    <row r="78" customFormat="false" ht="158.2" hidden="false" customHeight="false" outlineLevel="0" collapsed="false">
      <c r="A78" s="7" t="s">
        <v>404</v>
      </c>
      <c r="B78" s="7" t="s">
        <v>2430</v>
      </c>
      <c r="C78" s="7" t="s">
        <v>402</v>
      </c>
      <c r="D78" s="7" t="s">
        <v>349</v>
      </c>
      <c r="E78" s="7" t="s">
        <v>403</v>
      </c>
      <c r="F78" s="7" t="s">
        <v>394</v>
      </c>
      <c r="G78" s="7" t="s">
        <v>250</v>
      </c>
      <c r="H78" s="7" t="s">
        <v>2452</v>
      </c>
      <c r="I78" s="7" t="s">
        <v>2453</v>
      </c>
      <c r="J78" s="7" t="s">
        <v>2433</v>
      </c>
      <c r="K78" s="7" t="s">
        <v>2434</v>
      </c>
      <c r="L78" s="7" t="s">
        <v>2454</v>
      </c>
      <c r="M78" s="7" t="s">
        <v>2455</v>
      </c>
      <c r="N78" s="7" t="s">
        <v>2462</v>
      </c>
      <c r="O78" s="7" t="s">
        <v>2438</v>
      </c>
      <c r="P78" s="7" t="s">
        <v>2439</v>
      </c>
      <c r="Q78" s="7" t="s">
        <v>2440</v>
      </c>
      <c r="R78" s="7" t="s">
        <v>2441</v>
      </c>
      <c r="S78" s="7" t="s">
        <v>2442</v>
      </c>
    </row>
    <row r="79" customFormat="false" ht="158.2" hidden="false" customHeight="false" outlineLevel="0" collapsed="false">
      <c r="A79" s="7" t="s">
        <v>408</v>
      </c>
      <c r="B79" s="7" t="s">
        <v>2430</v>
      </c>
      <c r="C79" s="7" t="s">
        <v>405</v>
      </c>
      <c r="D79" s="7" t="s">
        <v>349</v>
      </c>
      <c r="E79" s="7" t="s">
        <v>406</v>
      </c>
      <c r="F79" s="7" t="s">
        <v>407</v>
      </c>
      <c r="G79" s="7" t="s">
        <v>250</v>
      </c>
      <c r="H79" s="7" t="s">
        <v>2452</v>
      </c>
      <c r="I79" s="7" t="s">
        <v>2453</v>
      </c>
      <c r="J79" s="7" t="s">
        <v>2433</v>
      </c>
      <c r="K79" s="7" t="s">
        <v>2434</v>
      </c>
      <c r="L79" s="7" t="s">
        <v>2454</v>
      </c>
      <c r="M79" s="7" t="s">
        <v>2455</v>
      </c>
      <c r="N79" s="7" t="s">
        <v>2462</v>
      </c>
      <c r="O79" s="7" t="s">
        <v>2438</v>
      </c>
      <c r="P79" s="7" t="s">
        <v>2439</v>
      </c>
      <c r="Q79" s="7" t="s">
        <v>2440</v>
      </c>
      <c r="R79" s="7" t="s">
        <v>2441</v>
      </c>
      <c r="S79" s="7" t="s">
        <v>2442</v>
      </c>
    </row>
    <row r="80" customFormat="false" ht="158.2" hidden="false" customHeight="false" outlineLevel="0" collapsed="false">
      <c r="A80" s="7" t="s">
        <v>411</v>
      </c>
      <c r="B80" s="7" t="s">
        <v>2430</v>
      </c>
      <c r="C80" s="7" t="s">
        <v>409</v>
      </c>
      <c r="D80" s="7" t="s">
        <v>349</v>
      </c>
      <c r="E80" s="7" t="s">
        <v>410</v>
      </c>
      <c r="F80" s="7" t="s">
        <v>152</v>
      </c>
      <c r="G80" s="7" t="s">
        <v>154</v>
      </c>
      <c r="H80" s="7" t="s">
        <v>2443</v>
      </c>
      <c r="I80" s="7" t="s">
        <v>2444</v>
      </c>
      <c r="J80" s="7" t="s">
        <v>2433</v>
      </c>
      <c r="K80" s="7" t="s">
        <v>2434</v>
      </c>
      <c r="L80" s="7" t="s">
        <v>2445</v>
      </c>
      <c r="M80" s="7" t="s">
        <v>2446</v>
      </c>
      <c r="N80" s="7" t="s">
        <v>2462</v>
      </c>
      <c r="O80" s="7" t="s">
        <v>2438</v>
      </c>
      <c r="P80" s="7" t="s">
        <v>2439</v>
      </c>
      <c r="Q80" s="7" t="s">
        <v>2440</v>
      </c>
      <c r="R80" s="7" t="s">
        <v>2441</v>
      </c>
      <c r="S80" s="7" t="s">
        <v>2442</v>
      </c>
    </row>
    <row r="81" customFormat="false" ht="158.2" hidden="false" customHeight="false" outlineLevel="0" collapsed="false">
      <c r="A81" s="7" t="s">
        <v>416</v>
      </c>
      <c r="B81" s="7" t="s">
        <v>2430</v>
      </c>
      <c r="C81" s="7" t="s">
        <v>413</v>
      </c>
      <c r="D81" s="7" t="s">
        <v>349</v>
      </c>
      <c r="E81" s="7" t="s">
        <v>414</v>
      </c>
      <c r="F81" s="7" t="s">
        <v>415</v>
      </c>
      <c r="G81" s="7" t="s">
        <v>154</v>
      </c>
      <c r="H81" s="7" t="s">
        <v>2443</v>
      </c>
      <c r="I81" s="7" t="s">
        <v>2444</v>
      </c>
      <c r="J81" s="7" t="s">
        <v>2433</v>
      </c>
      <c r="K81" s="7" t="s">
        <v>2434</v>
      </c>
      <c r="L81" s="7" t="s">
        <v>2445</v>
      </c>
      <c r="M81" s="7" t="s">
        <v>2446</v>
      </c>
      <c r="N81" s="7" t="s">
        <v>2462</v>
      </c>
      <c r="O81" s="7" t="s">
        <v>2438</v>
      </c>
      <c r="P81" s="7" t="s">
        <v>2439</v>
      </c>
      <c r="Q81" s="7" t="s">
        <v>2440</v>
      </c>
      <c r="R81" s="7" t="s">
        <v>2441</v>
      </c>
      <c r="S81" s="7" t="s">
        <v>2442</v>
      </c>
    </row>
    <row r="82" customFormat="false" ht="158.2" hidden="false" customHeight="false" outlineLevel="0" collapsed="false">
      <c r="A82" s="7" t="s">
        <v>419</v>
      </c>
      <c r="B82" s="7" t="s">
        <v>2430</v>
      </c>
      <c r="C82" s="7" t="s">
        <v>417</v>
      </c>
      <c r="D82" s="7" t="s">
        <v>349</v>
      </c>
      <c r="E82" s="7" t="s">
        <v>418</v>
      </c>
      <c r="F82" s="7" t="s">
        <v>152</v>
      </c>
      <c r="G82" s="7" t="s">
        <v>367</v>
      </c>
      <c r="H82" s="7" t="s">
        <v>2463</v>
      </c>
      <c r="I82" s="7" t="s">
        <v>2464</v>
      </c>
      <c r="J82" s="7" t="s">
        <v>2433</v>
      </c>
      <c r="K82" s="7" t="s">
        <v>2434</v>
      </c>
      <c r="L82" s="7" t="s">
        <v>2465</v>
      </c>
      <c r="M82" s="7" t="s">
        <v>2466</v>
      </c>
      <c r="N82" s="7" t="s">
        <v>2462</v>
      </c>
      <c r="O82" s="7" t="s">
        <v>2438</v>
      </c>
      <c r="P82" s="7" t="s">
        <v>2439</v>
      </c>
      <c r="Q82" s="7" t="s">
        <v>2440</v>
      </c>
      <c r="R82" s="7" t="s">
        <v>2441</v>
      </c>
      <c r="S82" s="7" t="s">
        <v>2442</v>
      </c>
    </row>
    <row r="83" customFormat="false" ht="158.2" hidden="false" customHeight="false" outlineLevel="0" collapsed="false">
      <c r="A83" s="7" t="s">
        <v>422</v>
      </c>
      <c r="B83" s="7" t="s">
        <v>2430</v>
      </c>
      <c r="C83" s="7" t="s">
        <v>420</v>
      </c>
      <c r="D83" s="7" t="s">
        <v>349</v>
      </c>
      <c r="E83" s="7" t="s">
        <v>421</v>
      </c>
      <c r="F83" s="7" t="s">
        <v>415</v>
      </c>
      <c r="G83" s="7" t="s">
        <v>367</v>
      </c>
      <c r="H83" s="7" t="s">
        <v>2463</v>
      </c>
      <c r="I83" s="7" t="s">
        <v>2464</v>
      </c>
      <c r="J83" s="7" t="s">
        <v>2433</v>
      </c>
      <c r="K83" s="7" t="s">
        <v>2434</v>
      </c>
      <c r="L83" s="7" t="s">
        <v>2465</v>
      </c>
      <c r="M83" s="7" t="s">
        <v>2466</v>
      </c>
      <c r="N83" s="7" t="s">
        <v>2462</v>
      </c>
      <c r="O83" s="7" t="s">
        <v>2438</v>
      </c>
      <c r="P83" s="7" t="s">
        <v>2439</v>
      </c>
      <c r="Q83" s="7" t="s">
        <v>2440</v>
      </c>
      <c r="R83" s="7" t="s">
        <v>2441</v>
      </c>
      <c r="S83" s="7" t="s">
        <v>2442</v>
      </c>
    </row>
    <row r="84" customFormat="false" ht="158.2" hidden="false" customHeight="false" outlineLevel="0" collapsed="false">
      <c r="A84" s="7" t="s">
        <v>426</v>
      </c>
      <c r="B84" s="7" t="s">
        <v>2430</v>
      </c>
      <c r="C84" s="7" t="s">
        <v>423</v>
      </c>
      <c r="D84" s="7" t="s">
        <v>349</v>
      </c>
      <c r="E84" s="7" t="s">
        <v>424</v>
      </c>
      <c r="F84" s="7" t="s">
        <v>425</v>
      </c>
      <c r="G84" s="7" t="s">
        <v>154</v>
      </c>
      <c r="H84" s="7" t="s">
        <v>2443</v>
      </c>
      <c r="I84" s="7" t="s">
        <v>2444</v>
      </c>
      <c r="J84" s="7" t="s">
        <v>2433</v>
      </c>
      <c r="K84" s="7" t="s">
        <v>2434</v>
      </c>
      <c r="L84" s="7" t="s">
        <v>2445</v>
      </c>
      <c r="M84" s="7" t="s">
        <v>2446</v>
      </c>
      <c r="N84" s="7" t="s">
        <v>2462</v>
      </c>
      <c r="O84" s="7" t="s">
        <v>2438</v>
      </c>
      <c r="P84" s="7" t="s">
        <v>2439</v>
      </c>
      <c r="Q84" s="7" t="s">
        <v>2440</v>
      </c>
      <c r="R84" s="7" t="s">
        <v>2441</v>
      </c>
      <c r="S84" s="7" t="s">
        <v>2442</v>
      </c>
    </row>
    <row r="85" customFormat="false" ht="158.2" hidden="false" customHeight="false" outlineLevel="0" collapsed="false">
      <c r="A85" s="7" t="s">
        <v>429</v>
      </c>
      <c r="B85" s="7" t="s">
        <v>2430</v>
      </c>
      <c r="C85" s="7" t="s">
        <v>427</v>
      </c>
      <c r="D85" s="7" t="s">
        <v>349</v>
      </c>
      <c r="E85" s="7" t="s">
        <v>428</v>
      </c>
      <c r="F85" s="7" t="s">
        <v>425</v>
      </c>
      <c r="G85" s="7" t="s">
        <v>154</v>
      </c>
      <c r="H85" s="7" t="s">
        <v>2443</v>
      </c>
      <c r="I85" s="7" t="s">
        <v>2444</v>
      </c>
      <c r="J85" s="7" t="s">
        <v>2433</v>
      </c>
      <c r="K85" s="7" t="s">
        <v>2434</v>
      </c>
      <c r="L85" s="7" t="s">
        <v>2445</v>
      </c>
      <c r="M85" s="7" t="s">
        <v>2446</v>
      </c>
      <c r="N85" s="7" t="s">
        <v>2462</v>
      </c>
      <c r="O85" s="7" t="s">
        <v>2438</v>
      </c>
      <c r="P85" s="7" t="s">
        <v>2439</v>
      </c>
      <c r="Q85" s="7" t="s">
        <v>2440</v>
      </c>
      <c r="R85" s="7" t="s">
        <v>2441</v>
      </c>
      <c r="S85" s="7" t="s">
        <v>2442</v>
      </c>
    </row>
    <row r="86" customFormat="false" ht="158.2" hidden="false" customHeight="false" outlineLevel="0" collapsed="false">
      <c r="A86" s="7" t="s">
        <v>433</v>
      </c>
      <c r="B86" s="7" t="s">
        <v>2430</v>
      </c>
      <c r="C86" s="7" t="s">
        <v>430</v>
      </c>
      <c r="D86" s="7" t="s">
        <v>349</v>
      </c>
      <c r="E86" s="7" t="s">
        <v>431</v>
      </c>
      <c r="F86" s="7" t="s">
        <v>432</v>
      </c>
      <c r="G86" s="7" t="s">
        <v>154</v>
      </c>
      <c r="H86" s="7" t="s">
        <v>2443</v>
      </c>
      <c r="I86" s="7" t="s">
        <v>2444</v>
      </c>
      <c r="J86" s="7" t="s">
        <v>2433</v>
      </c>
      <c r="K86" s="7" t="s">
        <v>2434</v>
      </c>
      <c r="L86" s="7" t="s">
        <v>2445</v>
      </c>
      <c r="M86" s="7" t="s">
        <v>2446</v>
      </c>
      <c r="N86" s="7" t="s">
        <v>2462</v>
      </c>
      <c r="O86" s="7" t="s">
        <v>2438</v>
      </c>
      <c r="P86" s="7" t="s">
        <v>2439</v>
      </c>
      <c r="Q86" s="7" t="s">
        <v>2440</v>
      </c>
      <c r="R86" s="7" t="s">
        <v>2441</v>
      </c>
      <c r="S86" s="7" t="s">
        <v>2442</v>
      </c>
    </row>
    <row r="87" customFormat="false" ht="158.2" hidden="false" customHeight="false" outlineLevel="0" collapsed="false">
      <c r="A87" s="7" t="s">
        <v>436</v>
      </c>
      <c r="B87" s="7" t="s">
        <v>2430</v>
      </c>
      <c r="C87" s="7" t="s">
        <v>434</v>
      </c>
      <c r="D87" s="7" t="s">
        <v>349</v>
      </c>
      <c r="E87" s="7" t="s">
        <v>435</v>
      </c>
      <c r="F87" s="7" t="s">
        <v>432</v>
      </c>
      <c r="G87" s="7" t="s">
        <v>154</v>
      </c>
      <c r="H87" s="7" t="s">
        <v>2443</v>
      </c>
      <c r="I87" s="7" t="s">
        <v>2444</v>
      </c>
      <c r="J87" s="7" t="s">
        <v>2433</v>
      </c>
      <c r="K87" s="7" t="s">
        <v>2434</v>
      </c>
      <c r="L87" s="7" t="s">
        <v>2445</v>
      </c>
      <c r="M87" s="7" t="s">
        <v>2446</v>
      </c>
      <c r="N87" s="7" t="s">
        <v>2462</v>
      </c>
      <c r="O87" s="7" t="s">
        <v>2438</v>
      </c>
      <c r="P87" s="7" t="s">
        <v>2439</v>
      </c>
      <c r="Q87" s="7" t="s">
        <v>2440</v>
      </c>
      <c r="R87" s="7" t="s">
        <v>2441</v>
      </c>
      <c r="S87" s="7" t="s">
        <v>2442</v>
      </c>
    </row>
    <row r="88" customFormat="false" ht="158.2" hidden="false" customHeight="false" outlineLevel="0" collapsed="false">
      <c r="A88" s="7" t="s">
        <v>440</v>
      </c>
      <c r="B88" s="7" t="s">
        <v>2430</v>
      </c>
      <c r="C88" s="7" t="s">
        <v>437</v>
      </c>
      <c r="D88" s="7" t="s">
        <v>349</v>
      </c>
      <c r="E88" s="7" t="s">
        <v>438</v>
      </c>
      <c r="F88" s="7" t="s">
        <v>439</v>
      </c>
      <c r="G88" s="7" t="s">
        <v>347</v>
      </c>
      <c r="H88" s="7" t="s">
        <v>2458</v>
      </c>
      <c r="I88" s="7" t="s">
        <v>2459</v>
      </c>
      <c r="J88" s="7" t="s">
        <v>2433</v>
      </c>
      <c r="K88" s="7" t="s">
        <v>2434</v>
      </c>
      <c r="L88" s="7" t="s">
        <v>2460</v>
      </c>
      <c r="M88" s="7" t="s">
        <v>2461</v>
      </c>
      <c r="N88" s="7" t="s">
        <v>2462</v>
      </c>
      <c r="O88" s="7" t="s">
        <v>2438</v>
      </c>
      <c r="P88" s="7" t="s">
        <v>2439</v>
      </c>
      <c r="Q88" s="7" t="s">
        <v>2440</v>
      </c>
      <c r="R88" s="7" t="s">
        <v>2441</v>
      </c>
      <c r="S88" s="7" t="s">
        <v>2442</v>
      </c>
    </row>
    <row r="89" customFormat="false" ht="158.2" hidden="false" customHeight="false" outlineLevel="0" collapsed="false">
      <c r="A89" s="7" t="s">
        <v>444</v>
      </c>
      <c r="B89" s="7" t="s">
        <v>2430</v>
      </c>
      <c r="C89" s="7" t="s">
        <v>441</v>
      </c>
      <c r="D89" s="7" t="s">
        <v>349</v>
      </c>
      <c r="E89" s="7" t="s">
        <v>442</v>
      </c>
      <c r="F89" s="7" t="s">
        <v>439</v>
      </c>
      <c r="G89" s="7" t="s">
        <v>347</v>
      </c>
      <c r="H89" s="7" t="s">
        <v>2458</v>
      </c>
      <c r="I89" s="7" t="s">
        <v>2459</v>
      </c>
      <c r="J89" s="7" t="s">
        <v>2433</v>
      </c>
      <c r="K89" s="7" t="s">
        <v>2434</v>
      </c>
      <c r="L89" s="7" t="s">
        <v>2460</v>
      </c>
      <c r="M89" s="7" t="s">
        <v>2461</v>
      </c>
      <c r="N89" s="7" t="s">
        <v>2462</v>
      </c>
      <c r="O89" s="7" t="s">
        <v>2438</v>
      </c>
      <c r="P89" s="7" t="s">
        <v>2439</v>
      </c>
      <c r="Q89" s="7" t="s">
        <v>2440</v>
      </c>
      <c r="R89" s="7" t="s">
        <v>2441</v>
      </c>
      <c r="S89" s="7" t="s">
        <v>2442</v>
      </c>
    </row>
    <row r="90" customFormat="false" ht="158.2" hidden="false" customHeight="false" outlineLevel="0" collapsed="false">
      <c r="A90" s="7" t="s">
        <v>447</v>
      </c>
      <c r="B90" s="7" t="s">
        <v>2430</v>
      </c>
      <c r="C90" s="7" t="s">
        <v>445</v>
      </c>
      <c r="D90" s="7" t="s">
        <v>349</v>
      </c>
      <c r="E90" s="7" t="s">
        <v>446</v>
      </c>
      <c r="F90" s="7" t="s">
        <v>371</v>
      </c>
      <c r="G90" s="7" t="s">
        <v>154</v>
      </c>
      <c r="H90" s="7" t="s">
        <v>2443</v>
      </c>
      <c r="I90" s="7" t="s">
        <v>2444</v>
      </c>
      <c r="J90" s="7" t="s">
        <v>2433</v>
      </c>
      <c r="K90" s="7" t="s">
        <v>2434</v>
      </c>
      <c r="L90" s="7" t="s">
        <v>2445</v>
      </c>
      <c r="M90" s="7" t="s">
        <v>2446</v>
      </c>
      <c r="N90" s="7" t="s">
        <v>2462</v>
      </c>
      <c r="O90" s="7" t="s">
        <v>2438</v>
      </c>
      <c r="P90" s="7" t="s">
        <v>2439</v>
      </c>
      <c r="Q90" s="7" t="s">
        <v>2440</v>
      </c>
      <c r="R90" s="7" t="s">
        <v>2441</v>
      </c>
      <c r="S90" s="7" t="s">
        <v>2442</v>
      </c>
    </row>
    <row r="91" customFormat="false" ht="158.2" hidden="false" customHeight="false" outlineLevel="0" collapsed="false">
      <c r="A91" s="7" t="s">
        <v>450</v>
      </c>
      <c r="B91" s="7" t="s">
        <v>2430</v>
      </c>
      <c r="C91" s="7" t="s">
        <v>448</v>
      </c>
      <c r="D91" s="7" t="s">
        <v>349</v>
      </c>
      <c r="E91" s="7" t="s">
        <v>449</v>
      </c>
      <c r="F91" s="7" t="s">
        <v>371</v>
      </c>
      <c r="G91" s="7" t="s">
        <v>154</v>
      </c>
      <c r="H91" s="7" t="s">
        <v>2443</v>
      </c>
      <c r="I91" s="7" t="s">
        <v>2444</v>
      </c>
      <c r="J91" s="7" t="s">
        <v>2433</v>
      </c>
      <c r="K91" s="7" t="s">
        <v>2434</v>
      </c>
      <c r="L91" s="7" t="s">
        <v>2445</v>
      </c>
      <c r="M91" s="7" t="s">
        <v>2446</v>
      </c>
      <c r="N91" s="7" t="s">
        <v>2462</v>
      </c>
      <c r="O91" s="7" t="s">
        <v>2438</v>
      </c>
      <c r="P91" s="7" t="s">
        <v>2439</v>
      </c>
      <c r="Q91" s="7" t="s">
        <v>2440</v>
      </c>
      <c r="R91" s="7" t="s">
        <v>2441</v>
      </c>
      <c r="S91" s="7" t="s">
        <v>2442</v>
      </c>
    </row>
    <row r="92" customFormat="false" ht="158.2" hidden="false" customHeight="false" outlineLevel="0" collapsed="false">
      <c r="A92" s="7" t="s">
        <v>454</v>
      </c>
      <c r="B92" s="7" t="s">
        <v>2430</v>
      </c>
      <c r="C92" s="7" t="s">
        <v>451</v>
      </c>
      <c r="D92" s="7" t="s">
        <v>349</v>
      </c>
      <c r="E92" s="7" t="s">
        <v>452</v>
      </c>
      <c r="F92" s="7" t="s">
        <v>453</v>
      </c>
      <c r="G92" s="7" t="s">
        <v>347</v>
      </c>
      <c r="H92" s="7" t="s">
        <v>2458</v>
      </c>
      <c r="I92" s="7" t="s">
        <v>2459</v>
      </c>
      <c r="J92" s="7" t="s">
        <v>2433</v>
      </c>
      <c r="K92" s="7" t="s">
        <v>2434</v>
      </c>
      <c r="L92" s="7" t="s">
        <v>2460</v>
      </c>
      <c r="M92" s="7" t="s">
        <v>2461</v>
      </c>
      <c r="N92" s="7" t="s">
        <v>2462</v>
      </c>
      <c r="O92" s="7" t="s">
        <v>2438</v>
      </c>
      <c r="P92" s="7" t="s">
        <v>2439</v>
      </c>
      <c r="Q92" s="7" t="s">
        <v>2440</v>
      </c>
      <c r="R92" s="7" t="s">
        <v>2441</v>
      </c>
      <c r="S92" s="7" t="s">
        <v>2442</v>
      </c>
    </row>
    <row r="93" customFormat="false" ht="158.2" hidden="false" customHeight="false" outlineLevel="0" collapsed="false">
      <c r="A93" s="7" t="s">
        <v>457</v>
      </c>
      <c r="B93" s="7" t="s">
        <v>2430</v>
      </c>
      <c r="C93" s="7" t="s">
        <v>455</v>
      </c>
      <c r="D93" s="7" t="s">
        <v>349</v>
      </c>
      <c r="E93" s="7" t="s">
        <v>456</v>
      </c>
      <c r="F93" s="7" t="s">
        <v>453</v>
      </c>
      <c r="G93" s="7" t="s">
        <v>347</v>
      </c>
      <c r="H93" s="7" t="s">
        <v>2458</v>
      </c>
      <c r="I93" s="7" t="s">
        <v>2459</v>
      </c>
      <c r="J93" s="7" t="s">
        <v>2433</v>
      </c>
      <c r="K93" s="7" t="s">
        <v>2434</v>
      </c>
      <c r="L93" s="7" t="s">
        <v>2460</v>
      </c>
      <c r="M93" s="7" t="s">
        <v>2461</v>
      </c>
      <c r="N93" s="7" t="s">
        <v>2462</v>
      </c>
      <c r="O93" s="7" t="s">
        <v>2438</v>
      </c>
      <c r="P93" s="7" t="s">
        <v>2439</v>
      </c>
      <c r="Q93" s="7" t="s">
        <v>2440</v>
      </c>
      <c r="R93" s="7" t="s">
        <v>2441</v>
      </c>
      <c r="S93" s="7" t="s">
        <v>2442</v>
      </c>
    </row>
    <row r="94" customFormat="false" ht="158.2" hidden="false" customHeight="false" outlineLevel="0" collapsed="false">
      <c r="A94" s="7" t="s">
        <v>462</v>
      </c>
      <c r="B94" s="7" t="s">
        <v>2430</v>
      </c>
      <c r="C94" s="7" t="s">
        <v>458</v>
      </c>
      <c r="D94" s="7" t="s">
        <v>459</v>
      </c>
      <c r="E94" s="7" t="s">
        <v>460</v>
      </c>
      <c r="F94" s="7" t="s">
        <v>461</v>
      </c>
      <c r="G94" s="7" t="s">
        <v>137</v>
      </c>
      <c r="H94" s="7" t="s">
        <v>2431</v>
      </c>
      <c r="I94" s="7" t="s">
        <v>2432</v>
      </c>
      <c r="J94" s="7" t="s">
        <v>2433</v>
      </c>
      <c r="K94" s="7" t="s">
        <v>2434</v>
      </c>
      <c r="L94" s="7" t="s">
        <v>2435</v>
      </c>
      <c r="M94" s="7" t="s">
        <v>2436</v>
      </c>
      <c r="N94" s="7" t="s">
        <v>2467</v>
      </c>
      <c r="O94" s="7" t="s">
        <v>2438</v>
      </c>
      <c r="P94" s="7" t="s">
        <v>2439</v>
      </c>
      <c r="Q94" s="7" t="s">
        <v>2440</v>
      </c>
      <c r="R94" s="7" t="s">
        <v>2441</v>
      </c>
      <c r="S94" s="7" t="s">
        <v>2442</v>
      </c>
    </row>
    <row r="95" customFormat="false" ht="158.2" hidden="false" customHeight="false" outlineLevel="0" collapsed="false">
      <c r="A95" s="7" t="s">
        <v>466</v>
      </c>
      <c r="B95" s="7" t="s">
        <v>2430</v>
      </c>
      <c r="C95" s="7" t="s">
        <v>463</v>
      </c>
      <c r="D95" s="7" t="s">
        <v>459</v>
      </c>
      <c r="E95" s="7" t="s">
        <v>464</v>
      </c>
      <c r="F95" s="7" t="s">
        <v>465</v>
      </c>
      <c r="G95" s="7" t="s">
        <v>137</v>
      </c>
      <c r="H95" s="7" t="s">
        <v>2431</v>
      </c>
      <c r="I95" s="7" t="s">
        <v>2432</v>
      </c>
      <c r="J95" s="7" t="s">
        <v>2433</v>
      </c>
      <c r="K95" s="7" t="s">
        <v>2434</v>
      </c>
      <c r="L95" s="7" t="s">
        <v>2435</v>
      </c>
      <c r="M95" s="7" t="s">
        <v>2436</v>
      </c>
      <c r="N95" s="7" t="s">
        <v>2467</v>
      </c>
      <c r="O95" s="7" t="s">
        <v>2438</v>
      </c>
      <c r="P95" s="7" t="s">
        <v>2439</v>
      </c>
      <c r="Q95" s="7" t="s">
        <v>2440</v>
      </c>
      <c r="R95" s="7" t="s">
        <v>2441</v>
      </c>
      <c r="S95" s="7" t="s">
        <v>2442</v>
      </c>
    </row>
    <row r="96" customFormat="false" ht="158.2" hidden="false" customHeight="false" outlineLevel="0" collapsed="false">
      <c r="A96" s="7" t="s">
        <v>470</v>
      </c>
      <c r="B96" s="7" t="s">
        <v>2430</v>
      </c>
      <c r="C96" s="7" t="s">
        <v>467</v>
      </c>
      <c r="D96" s="7" t="s">
        <v>459</v>
      </c>
      <c r="E96" s="7" t="s">
        <v>468</v>
      </c>
      <c r="F96" s="7" t="s">
        <v>469</v>
      </c>
      <c r="G96" s="7" t="s">
        <v>137</v>
      </c>
      <c r="H96" s="7" t="s">
        <v>2431</v>
      </c>
      <c r="I96" s="7" t="s">
        <v>2432</v>
      </c>
      <c r="J96" s="7" t="s">
        <v>2433</v>
      </c>
      <c r="K96" s="7" t="s">
        <v>2434</v>
      </c>
      <c r="L96" s="7" t="s">
        <v>2435</v>
      </c>
      <c r="M96" s="7" t="s">
        <v>2436</v>
      </c>
      <c r="N96" s="7" t="s">
        <v>2467</v>
      </c>
      <c r="O96" s="7" t="s">
        <v>2438</v>
      </c>
      <c r="P96" s="7" t="s">
        <v>2439</v>
      </c>
      <c r="Q96" s="7" t="s">
        <v>2440</v>
      </c>
      <c r="R96" s="7" t="s">
        <v>2441</v>
      </c>
      <c r="S96" s="7" t="s">
        <v>2442</v>
      </c>
    </row>
    <row r="97" customFormat="false" ht="158.2" hidden="false" customHeight="false" outlineLevel="0" collapsed="false">
      <c r="A97" s="7" t="s">
        <v>474</v>
      </c>
      <c r="B97" s="7" t="s">
        <v>2430</v>
      </c>
      <c r="C97" s="7" t="s">
        <v>471</v>
      </c>
      <c r="D97" s="7" t="s">
        <v>459</v>
      </c>
      <c r="E97" s="7" t="s">
        <v>472</v>
      </c>
      <c r="F97" s="7" t="s">
        <v>473</v>
      </c>
      <c r="G97" s="7" t="s">
        <v>137</v>
      </c>
      <c r="H97" s="7" t="s">
        <v>2431</v>
      </c>
      <c r="I97" s="7" t="s">
        <v>2432</v>
      </c>
      <c r="J97" s="7" t="s">
        <v>2433</v>
      </c>
      <c r="K97" s="7" t="s">
        <v>2434</v>
      </c>
      <c r="L97" s="7" t="s">
        <v>2435</v>
      </c>
      <c r="M97" s="7" t="s">
        <v>2436</v>
      </c>
      <c r="N97" s="7" t="s">
        <v>2467</v>
      </c>
      <c r="O97" s="7" t="s">
        <v>2438</v>
      </c>
      <c r="P97" s="7" t="s">
        <v>2439</v>
      </c>
      <c r="Q97" s="7" t="s">
        <v>2440</v>
      </c>
      <c r="R97" s="7" t="s">
        <v>2441</v>
      </c>
      <c r="S97" s="7" t="s">
        <v>2442</v>
      </c>
    </row>
    <row r="98" customFormat="false" ht="158.2" hidden="false" customHeight="false" outlineLevel="0" collapsed="false">
      <c r="A98" s="7" t="s">
        <v>478</v>
      </c>
      <c r="B98" s="7" t="s">
        <v>2430</v>
      </c>
      <c r="C98" s="7" t="s">
        <v>475</v>
      </c>
      <c r="D98" s="7" t="s">
        <v>459</v>
      </c>
      <c r="E98" s="7" t="s">
        <v>476</v>
      </c>
      <c r="F98" s="7" t="s">
        <v>477</v>
      </c>
      <c r="G98" s="7" t="s">
        <v>137</v>
      </c>
      <c r="H98" s="7" t="s">
        <v>2431</v>
      </c>
      <c r="I98" s="7" t="s">
        <v>2432</v>
      </c>
      <c r="J98" s="7" t="s">
        <v>2433</v>
      </c>
      <c r="K98" s="7" t="s">
        <v>2434</v>
      </c>
      <c r="L98" s="7" t="s">
        <v>2435</v>
      </c>
      <c r="M98" s="7" t="s">
        <v>2436</v>
      </c>
      <c r="N98" s="7" t="s">
        <v>2467</v>
      </c>
      <c r="O98" s="7" t="s">
        <v>2438</v>
      </c>
      <c r="P98" s="7" t="s">
        <v>2439</v>
      </c>
      <c r="Q98" s="7" t="s">
        <v>2440</v>
      </c>
      <c r="R98" s="7" t="s">
        <v>2441</v>
      </c>
      <c r="S98" s="7" t="s">
        <v>2442</v>
      </c>
    </row>
    <row r="99" customFormat="false" ht="158.2" hidden="false" customHeight="false" outlineLevel="0" collapsed="false">
      <c r="A99" s="7" t="s">
        <v>483</v>
      </c>
      <c r="B99" s="7" t="s">
        <v>2430</v>
      </c>
      <c r="C99" s="7" t="s">
        <v>479</v>
      </c>
      <c r="D99" s="7" t="s">
        <v>459</v>
      </c>
      <c r="E99" s="7" t="s">
        <v>480</v>
      </c>
      <c r="F99" s="7" t="s">
        <v>482</v>
      </c>
      <c r="G99" s="7" t="s">
        <v>154</v>
      </c>
      <c r="H99" s="7" t="s">
        <v>2443</v>
      </c>
      <c r="I99" s="7" t="s">
        <v>2444</v>
      </c>
      <c r="J99" s="7" t="s">
        <v>2433</v>
      </c>
      <c r="K99" s="7" t="s">
        <v>2434</v>
      </c>
      <c r="L99" s="7" t="s">
        <v>2445</v>
      </c>
      <c r="M99" s="7" t="s">
        <v>2446</v>
      </c>
      <c r="N99" s="7" t="s">
        <v>2467</v>
      </c>
      <c r="O99" s="7" t="s">
        <v>2438</v>
      </c>
      <c r="P99" s="7" t="s">
        <v>2439</v>
      </c>
      <c r="Q99" s="7" t="s">
        <v>2440</v>
      </c>
      <c r="R99" s="7" t="s">
        <v>2441</v>
      </c>
      <c r="S99" s="7" t="s">
        <v>2442</v>
      </c>
    </row>
    <row r="100" customFormat="false" ht="158.2" hidden="false" customHeight="false" outlineLevel="0" collapsed="false">
      <c r="A100" s="7" t="s">
        <v>487</v>
      </c>
      <c r="B100" s="7" t="s">
        <v>2430</v>
      </c>
      <c r="C100" s="7" t="s">
        <v>484</v>
      </c>
      <c r="D100" s="7" t="s">
        <v>459</v>
      </c>
      <c r="E100" s="7" t="s">
        <v>485</v>
      </c>
      <c r="F100" s="7" t="s">
        <v>486</v>
      </c>
      <c r="G100" s="7" t="s">
        <v>137</v>
      </c>
      <c r="H100" s="7" t="s">
        <v>2431</v>
      </c>
      <c r="I100" s="7" t="s">
        <v>2432</v>
      </c>
      <c r="J100" s="7" t="s">
        <v>2433</v>
      </c>
      <c r="K100" s="7" t="s">
        <v>2434</v>
      </c>
      <c r="L100" s="7" t="s">
        <v>2435</v>
      </c>
      <c r="M100" s="7" t="s">
        <v>2436</v>
      </c>
      <c r="N100" s="7" t="s">
        <v>2467</v>
      </c>
      <c r="O100" s="7" t="s">
        <v>2438</v>
      </c>
      <c r="P100" s="7" t="s">
        <v>2439</v>
      </c>
      <c r="Q100" s="7" t="s">
        <v>2440</v>
      </c>
      <c r="R100" s="7" t="s">
        <v>2441</v>
      </c>
      <c r="S100" s="7" t="s">
        <v>2442</v>
      </c>
    </row>
    <row r="101" customFormat="false" ht="158.2" hidden="false" customHeight="false" outlineLevel="0" collapsed="false">
      <c r="A101" s="7" t="s">
        <v>491</v>
      </c>
      <c r="B101" s="7" t="s">
        <v>2430</v>
      </c>
      <c r="C101" s="7" t="s">
        <v>488</v>
      </c>
      <c r="D101" s="7" t="s">
        <v>459</v>
      </c>
      <c r="E101" s="7" t="s">
        <v>489</v>
      </c>
      <c r="F101" s="7" t="s">
        <v>490</v>
      </c>
      <c r="G101" s="7" t="s">
        <v>154</v>
      </c>
      <c r="H101" s="7" t="s">
        <v>2443</v>
      </c>
      <c r="I101" s="7" t="s">
        <v>2444</v>
      </c>
      <c r="J101" s="7" t="s">
        <v>2433</v>
      </c>
      <c r="K101" s="7" t="s">
        <v>2434</v>
      </c>
      <c r="L101" s="7" t="s">
        <v>2445</v>
      </c>
      <c r="M101" s="7" t="s">
        <v>2446</v>
      </c>
      <c r="N101" s="7" t="s">
        <v>2467</v>
      </c>
      <c r="O101" s="7" t="s">
        <v>2438</v>
      </c>
      <c r="P101" s="7" t="s">
        <v>2439</v>
      </c>
      <c r="Q101" s="7" t="s">
        <v>2440</v>
      </c>
      <c r="R101" s="7" t="s">
        <v>2441</v>
      </c>
      <c r="S101" s="7" t="s">
        <v>2442</v>
      </c>
    </row>
    <row r="102" customFormat="false" ht="158.2" hidden="false" customHeight="false" outlineLevel="0" collapsed="false">
      <c r="A102" s="7" t="s">
        <v>495</v>
      </c>
      <c r="B102" s="7" t="s">
        <v>2430</v>
      </c>
      <c r="C102" s="7" t="s">
        <v>492</v>
      </c>
      <c r="D102" s="7" t="s">
        <v>459</v>
      </c>
      <c r="E102" s="7" t="s">
        <v>493</v>
      </c>
      <c r="F102" s="7" t="s">
        <v>494</v>
      </c>
      <c r="G102" s="7" t="s">
        <v>137</v>
      </c>
      <c r="H102" s="7" t="s">
        <v>2431</v>
      </c>
      <c r="I102" s="7" t="s">
        <v>2432</v>
      </c>
      <c r="J102" s="7" t="s">
        <v>2433</v>
      </c>
      <c r="K102" s="7" t="s">
        <v>2434</v>
      </c>
      <c r="L102" s="7" t="s">
        <v>2435</v>
      </c>
      <c r="M102" s="7" t="s">
        <v>2436</v>
      </c>
      <c r="N102" s="7" t="s">
        <v>2467</v>
      </c>
      <c r="O102" s="7" t="s">
        <v>2438</v>
      </c>
      <c r="P102" s="7" t="s">
        <v>2439</v>
      </c>
      <c r="Q102" s="7" t="s">
        <v>2440</v>
      </c>
      <c r="R102" s="7" t="s">
        <v>2441</v>
      </c>
      <c r="S102" s="7" t="s">
        <v>2442</v>
      </c>
    </row>
    <row r="103" customFormat="false" ht="158.2" hidden="false" customHeight="false" outlineLevel="0" collapsed="false">
      <c r="A103" s="7" t="s">
        <v>499</v>
      </c>
      <c r="B103" s="7" t="s">
        <v>2430</v>
      </c>
      <c r="C103" s="7" t="s">
        <v>496</v>
      </c>
      <c r="D103" s="7" t="s">
        <v>459</v>
      </c>
      <c r="E103" s="7" t="s">
        <v>497</v>
      </c>
      <c r="F103" s="7" t="s">
        <v>498</v>
      </c>
      <c r="G103" s="7" t="s">
        <v>137</v>
      </c>
      <c r="H103" s="7" t="s">
        <v>2431</v>
      </c>
      <c r="I103" s="7" t="s">
        <v>2432</v>
      </c>
      <c r="J103" s="7" t="s">
        <v>2433</v>
      </c>
      <c r="K103" s="7" t="s">
        <v>2434</v>
      </c>
      <c r="L103" s="7" t="s">
        <v>2435</v>
      </c>
      <c r="M103" s="7" t="s">
        <v>2436</v>
      </c>
      <c r="N103" s="7" t="s">
        <v>2467</v>
      </c>
      <c r="O103" s="7" t="s">
        <v>2438</v>
      </c>
      <c r="P103" s="7" t="s">
        <v>2439</v>
      </c>
      <c r="Q103" s="7" t="s">
        <v>2440</v>
      </c>
      <c r="R103" s="7" t="s">
        <v>2441</v>
      </c>
      <c r="S103" s="7" t="s">
        <v>2442</v>
      </c>
    </row>
    <row r="104" customFormat="false" ht="158.2" hidden="false" customHeight="false" outlineLevel="0" collapsed="false">
      <c r="A104" s="7" t="s">
        <v>503</v>
      </c>
      <c r="B104" s="7" t="s">
        <v>2430</v>
      </c>
      <c r="C104" s="7" t="s">
        <v>500</v>
      </c>
      <c r="D104" s="7" t="s">
        <v>459</v>
      </c>
      <c r="E104" s="7" t="s">
        <v>501</v>
      </c>
      <c r="F104" s="7" t="s">
        <v>502</v>
      </c>
      <c r="G104" s="7" t="s">
        <v>137</v>
      </c>
      <c r="H104" s="7" t="s">
        <v>2431</v>
      </c>
      <c r="I104" s="7" t="s">
        <v>2432</v>
      </c>
      <c r="J104" s="7" t="s">
        <v>2433</v>
      </c>
      <c r="K104" s="7" t="s">
        <v>2434</v>
      </c>
      <c r="L104" s="7" t="s">
        <v>2435</v>
      </c>
      <c r="M104" s="7" t="s">
        <v>2436</v>
      </c>
      <c r="N104" s="7" t="s">
        <v>2467</v>
      </c>
      <c r="O104" s="7" t="s">
        <v>2438</v>
      </c>
      <c r="P104" s="7" t="s">
        <v>2439</v>
      </c>
      <c r="Q104" s="7" t="s">
        <v>2440</v>
      </c>
      <c r="R104" s="7" t="s">
        <v>2441</v>
      </c>
      <c r="S104" s="7" t="s">
        <v>2442</v>
      </c>
    </row>
    <row r="105" customFormat="false" ht="158.2" hidden="false" customHeight="false" outlineLevel="0" collapsed="false">
      <c r="A105" s="7" t="s">
        <v>507</v>
      </c>
      <c r="B105" s="7" t="s">
        <v>2430</v>
      </c>
      <c r="C105" s="7" t="s">
        <v>504</v>
      </c>
      <c r="D105" s="7" t="s">
        <v>459</v>
      </c>
      <c r="E105" s="7" t="s">
        <v>505</v>
      </c>
      <c r="F105" s="7" t="s">
        <v>506</v>
      </c>
      <c r="G105" s="7" t="s">
        <v>154</v>
      </c>
      <c r="H105" s="7" t="s">
        <v>2443</v>
      </c>
      <c r="I105" s="7" t="s">
        <v>2444</v>
      </c>
      <c r="J105" s="7" t="s">
        <v>2433</v>
      </c>
      <c r="K105" s="7" t="s">
        <v>2434</v>
      </c>
      <c r="L105" s="7" t="s">
        <v>2445</v>
      </c>
      <c r="M105" s="7" t="s">
        <v>2446</v>
      </c>
      <c r="N105" s="7" t="s">
        <v>2467</v>
      </c>
      <c r="O105" s="7" t="s">
        <v>2438</v>
      </c>
      <c r="P105" s="7" t="s">
        <v>2439</v>
      </c>
      <c r="Q105" s="7" t="s">
        <v>2440</v>
      </c>
      <c r="R105" s="7" t="s">
        <v>2441</v>
      </c>
      <c r="S105" s="7" t="s">
        <v>2442</v>
      </c>
    </row>
    <row r="106" customFormat="false" ht="158.2" hidden="false" customHeight="false" outlineLevel="0" collapsed="false">
      <c r="A106" s="7" t="s">
        <v>511</v>
      </c>
      <c r="B106" s="7" t="s">
        <v>2430</v>
      </c>
      <c r="C106" s="7" t="s">
        <v>508</v>
      </c>
      <c r="D106" s="7" t="s">
        <v>459</v>
      </c>
      <c r="E106" s="7" t="s">
        <v>509</v>
      </c>
      <c r="F106" s="7" t="s">
        <v>510</v>
      </c>
      <c r="G106" s="7" t="s">
        <v>154</v>
      </c>
      <c r="H106" s="7" t="s">
        <v>2443</v>
      </c>
      <c r="I106" s="7" t="s">
        <v>2444</v>
      </c>
      <c r="J106" s="7" t="s">
        <v>2433</v>
      </c>
      <c r="K106" s="7" t="s">
        <v>2434</v>
      </c>
      <c r="L106" s="7" t="s">
        <v>2445</v>
      </c>
      <c r="M106" s="7" t="s">
        <v>2446</v>
      </c>
      <c r="N106" s="7" t="s">
        <v>2467</v>
      </c>
      <c r="O106" s="7" t="s">
        <v>2438</v>
      </c>
      <c r="P106" s="7" t="s">
        <v>2439</v>
      </c>
      <c r="Q106" s="7" t="s">
        <v>2440</v>
      </c>
      <c r="R106" s="7" t="s">
        <v>2441</v>
      </c>
      <c r="S106" s="7" t="s">
        <v>2442</v>
      </c>
    </row>
    <row r="107" customFormat="false" ht="158.2" hidden="false" customHeight="false" outlineLevel="0" collapsed="false">
      <c r="A107" s="7" t="s">
        <v>514</v>
      </c>
      <c r="B107" s="7" t="s">
        <v>2430</v>
      </c>
      <c r="C107" s="7" t="s">
        <v>512</v>
      </c>
      <c r="D107" s="7" t="s">
        <v>459</v>
      </c>
      <c r="E107" s="7" t="s">
        <v>513</v>
      </c>
      <c r="F107" s="7" t="s">
        <v>510</v>
      </c>
      <c r="G107" s="7" t="s">
        <v>154</v>
      </c>
      <c r="H107" s="7" t="s">
        <v>2443</v>
      </c>
      <c r="I107" s="7" t="s">
        <v>2444</v>
      </c>
      <c r="J107" s="7" t="s">
        <v>2433</v>
      </c>
      <c r="K107" s="7" t="s">
        <v>2434</v>
      </c>
      <c r="L107" s="7" t="s">
        <v>2445</v>
      </c>
      <c r="M107" s="7" t="s">
        <v>2446</v>
      </c>
      <c r="N107" s="7" t="s">
        <v>2467</v>
      </c>
      <c r="O107" s="7" t="s">
        <v>2438</v>
      </c>
      <c r="P107" s="7" t="s">
        <v>2439</v>
      </c>
      <c r="Q107" s="7" t="s">
        <v>2440</v>
      </c>
      <c r="R107" s="7" t="s">
        <v>2441</v>
      </c>
      <c r="S107" s="7" t="s">
        <v>2442</v>
      </c>
    </row>
    <row r="108" customFormat="false" ht="158.2" hidden="false" customHeight="false" outlineLevel="0" collapsed="false">
      <c r="A108" s="7" t="s">
        <v>518</v>
      </c>
      <c r="B108" s="7" t="s">
        <v>2430</v>
      </c>
      <c r="C108" s="7" t="s">
        <v>515</v>
      </c>
      <c r="D108" s="7" t="s">
        <v>459</v>
      </c>
      <c r="E108" s="7" t="s">
        <v>516</v>
      </c>
      <c r="F108" s="7" t="s">
        <v>517</v>
      </c>
      <c r="G108" s="7" t="s">
        <v>250</v>
      </c>
      <c r="H108" s="7" t="s">
        <v>2452</v>
      </c>
      <c r="I108" s="7" t="s">
        <v>2453</v>
      </c>
      <c r="J108" s="7" t="s">
        <v>2433</v>
      </c>
      <c r="K108" s="7" t="s">
        <v>2434</v>
      </c>
      <c r="L108" s="7" t="s">
        <v>2454</v>
      </c>
      <c r="M108" s="7" t="s">
        <v>2455</v>
      </c>
      <c r="N108" s="7" t="s">
        <v>2467</v>
      </c>
      <c r="O108" s="7" t="s">
        <v>2438</v>
      </c>
      <c r="P108" s="7" t="s">
        <v>2439</v>
      </c>
      <c r="Q108" s="7" t="s">
        <v>2440</v>
      </c>
      <c r="R108" s="7" t="s">
        <v>2441</v>
      </c>
      <c r="S108" s="7" t="s">
        <v>2442</v>
      </c>
    </row>
    <row r="109" customFormat="false" ht="158.2" hidden="false" customHeight="false" outlineLevel="0" collapsed="false">
      <c r="A109" s="7" t="s">
        <v>522</v>
      </c>
      <c r="B109" s="7" t="s">
        <v>2430</v>
      </c>
      <c r="C109" s="7" t="s">
        <v>519</v>
      </c>
      <c r="D109" s="7" t="s">
        <v>459</v>
      </c>
      <c r="E109" s="7" t="s">
        <v>520</v>
      </c>
      <c r="F109" s="7" t="s">
        <v>521</v>
      </c>
      <c r="G109" s="7" t="s">
        <v>523</v>
      </c>
      <c r="H109" s="7" t="s">
        <v>2468</v>
      </c>
      <c r="I109" s="7" t="s">
        <v>2469</v>
      </c>
      <c r="J109" s="7" t="s">
        <v>2433</v>
      </c>
      <c r="K109" s="7" t="s">
        <v>2434</v>
      </c>
      <c r="L109" s="7" t="s">
        <v>2470</v>
      </c>
      <c r="M109" s="7" t="s">
        <v>2471</v>
      </c>
      <c r="N109" s="7" t="s">
        <v>2467</v>
      </c>
      <c r="O109" s="7" t="s">
        <v>2438</v>
      </c>
      <c r="P109" s="7" t="s">
        <v>2439</v>
      </c>
      <c r="Q109" s="7" t="s">
        <v>2440</v>
      </c>
      <c r="R109" s="7" t="s">
        <v>2441</v>
      </c>
      <c r="S109" s="7" t="s">
        <v>2442</v>
      </c>
    </row>
    <row r="110" customFormat="false" ht="158.2" hidden="false" customHeight="false" outlineLevel="0" collapsed="false">
      <c r="A110" s="7" t="s">
        <v>527</v>
      </c>
      <c r="B110" s="7" t="s">
        <v>2430</v>
      </c>
      <c r="C110" s="7" t="s">
        <v>524</v>
      </c>
      <c r="D110" s="7" t="s">
        <v>459</v>
      </c>
      <c r="E110" s="7" t="s">
        <v>525</v>
      </c>
      <c r="F110" s="7" t="s">
        <v>526</v>
      </c>
      <c r="G110" s="7" t="s">
        <v>250</v>
      </c>
      <c r="H110" s="7" t="s">
        <v>2452</v>
      </c>
      <c r="I110" s="7" t="s">
        <v>2453</v>
      </c>
      <c r="J110" s="7" t="s">
        <v>2433</v>
      </c>
      <c r="K110" s="7" t="s">
        <v>2434</v>
      </c>
      <c r="L110" s="7" t="s">
        <v>2454</v>
      </c>
      <c r="M110" s="7" t="s">
        <v>2455</v>
      </c>
      <c r="N110" s="7" t="s">
        <v>2467</v>
      </c>
      <c r="O110" s="7" t="s">
        <v>2438</v>
      </c>
      <c r="P110" s="7" t="s">
        <v>2439</v>
      </c>
      <c r="Q110" s="7" t="s">
        <v>2440</v>
      </c>
      <c r="R110" s="7" t="s">
        <v>2441</v>
      </c>
      <c r="S110" s="7" t="s">
        <v>2442</v>
      </c>
    </row>
    <row r="111" customFormat="false" ht="158.2" hidden="false" customHeight="false" outlineLevel="0" collapsed="false">
      <c r="A111" s="7" t="s">
        <v>531</v>
      </c>
      <c r="B111" s="7" t="s">
        <v>2430</v>
      </c>
      <c r="C111" s="7" t="s">
        <v>528</v>
      </c>
      <c r="D111" s="7" t="s">
        <v>459</v>
      </c>
      <c r="E111" s="7" t="s">
        <v>529</v>
      </c>
      <c r="F111" s="7" t="s">
        <v>530</v>
      </c>
      <c r="G111" s="7" t="s">
        <v>367</v>
      </c>
      <c r="H111" s="7" t="s">
        <v>2463</v>
      </c>
      <c r="I111" s="7" t="s">
        <v>2464</v>
      </c>
      <c r="J111" s="7" t="s">
        <v>2433</v>
      </c>
      <c r="K111" s="7" t="s">
        <v>2434</v>
      </c>
      <c r="L111" s="7" t="s">
        <v>2465</v>
      </c>
      <c r="M111" s="7" t="s">
        <v>2466</v>
      </c>
      <c r="N111" s="7" t="s">
        <v>2467</v>
      </c>
      <c r="O111" s="7" t="s">
        <v>2438</v>
      </c>
      <c r="P111" s="7" t="s">
        <v>2439</v>
      </c>
      <c r="Q111" s="7" t="s">
        <v>2440</v>
      </c>
      <c r="R111" s="7" t="s">
        <v>2441</v>
      </c>
      <c r="S111" s="7" t="s">
        <v>2442</v>
      </c>
    </row>
    <row r="112" customFormat="false" ht="158.2" hidden="false" customHeight="false" outlineLevel="0" collapsed="false">
      <c r="A112" s="7" t="s">
        <v>535</v>
      </c>
      <c r="B112" s="7" t="s">
        <v>2430</v>
      </c>
      <c r="C112" s="7" t="s">
        <v>532</v>
      </c>
      <c r="D112" s="7" t="s">
        <v>459</v>
      </c>
      <c r="E112" s="7" t="s">
        <v>533</v>
      </c>
      <c r="F112" s="7" t="s">
        <v>534</v>
      </c>
      <c r="G112" s="7" t="s">
        <v>154</v>
      </c>
      <c r="H112" s="7" t="s">
        <v>2443</v>
      </c>
      <c r="I112" s="7" t="s">
        <v>2444</v>
      </c>
      <c r="J112" s="7" t="s">
        <v>2433</v>
      </c>
      <c r="K112" s="7" t="s">
        <v>2434</v>
      </c>
      <c r="L112" s="7" t="s">
        <v>2445</v>
      </c>
      <c r="M112" s="7" t="s">
        <v>2446</v>
      </c>
      <c r="N112" s="7" t="s">
        <v>2467</v>
      </c>
      <c r="O112" s="7" t="s">
        <v>2438</v>
      </c>
      <c r="P112" s="7" t="s">
        <v>2439</v>
      </c>
      <c r="Q112" s="7" t="s">
        <v>2440</v>
      </c>
      <c r="R112" s="7" t="s">
        <v>2441</v>
      </c>
      <c r="S112" s="7" t="s">
        <v>2442</v>
      </c>
    </row>
  </sheetData>
  <autoFilter ref="A4:S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C8E"/>
    <pageSetUpPr fitToPage="false"/>
  </sheetPr>
  <dimension ref="A1:Z2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12"/>
    <col collapsed="false" customWidth="true" hidden="false" outlineLevel="0" max="4" min="4" style="0" width="11"/>
    <col collapsed="false" customWidth="true" hidden="false" outlineLevel="0" max="5" min="5" style="0" width="9"/>
    <col collapsed="false" customWidth="true" hidden="false" outlineLevel="0" max="6" min="6" style="0" width="28"/>
    <col collapsed="false" customWidth="true" hidden="false" outlineLevel="0" max="7" min="7" style="0" width="60"/>
    <col collapsed="false" customWidth="true" hidden="false" outlineLevel="0" max="8" min="8" style="0" width="50"/>
    <col collapsed="false" customWidth="true" hidden="false" outlineLevel="0" max="9" min="9" style="0" width="9"/>
    <col collapsed="false" customWidth="true" hidden="false" outlineLevel="0" max="10" min="10" style="0" width="22"/>
    <col collapsed="false" customWidth="true" hidden="false" outlineLevel="0" max="11" min="11" style="0" width="28"/>
    <col collapsed="false" customWidth="true" hidden="false" outlineLevel="0" max="12" min="12" style="0" width="50"/>
    <col collapsed="false" customWidth="true" hidden="false" outlineLevel="0" max="15" min="13" style="0" width="40"/>
    <col collapsed="false" customWidth="true" hidden="false" outlineLevel="0" max="17" min="16" style="0" width="50"/>
    <col collapsed="false" customWidth="true" hidden="false" outlineLevel="0" max="18" min="18" style="0" width="40"/>
    <col collapsed="false" customWidth="true" hidden="false" outlineLevel="0" max="19" min="19" style="0" width="14"/>
    <col collapsed="false" customWidth="true" hidden="false" outlineLevel="0" max="20" min="20" style="0" width="16"/>
    <col collapsed="false" customWidth="true" hidden="false" outlineLevel="0" max="21" min="21" style="0" width="36"/>
    <col collapsed="false" customWidth="true" hidden="false" outlineLevel="0" max="23" min="22" style="0" width="40"/>
    <col collapsed="false" customWidth="true" hidden="false" outlineLevel="0" max="24" min="24" style="0" width="22"/>
    <col collapsed="false" customWidth="true" hidden="false" outlineLevel="0" max="25" min="25" style="0" width="28"/>
    <col collapsed="false" customWidth="true" hidden="false" outlineLevel="0" max="26" min="26" style="0" width="11"/>
  </cols>
  <sheetData>
    <row r="1" customFormat="false" ht="17.35" hidden="false" customHeight="false" outlineLevel="0" collapsed="false">
      <c r="A1" s="1" t="s">
        <v>2472</v>
      </c>
    </row>
    <row r="2" customFormat="false" ht="15" hidden="false" customHeight="false" outlineLevel="0" collapsed="false">
      <c r="A2" s="2" t="s">
        <v>2473</v>
      </c>
    </row>
    <row r="4" customFormat="false" ht="31.5" hidden="false" customHeight="true" outlineLevel="0" collapsed="false">
      <c r="A4" s="6" t="s">
        <v>2411</v>
      </c>
      <c r="B4" s="6" t="s">
        <v>2412</v>
      </c>
      <c r="C4" s="6" t="s">
        <v>2474</v>
      </c>
      <c r="D4" s="6" t="s">
        <v>2413</v>
      </c>
      <c r="E4" s="6" t="s">
        <v>2475</v>
      </c>
      <c r="F4" s="6" t="s">
        <v>2476</v>
      </c>
      <c r="G4" s="6" t="s">
        <v>2415</v>
      </c>
      <c r="H4" s="6" t="s">
        <v>2416</v>
      </c>
      <c r="I4" s="6" t="s">
        <v>2477</v>
      </c>
      <c r="J4" s="6" t="s">
        <v>2417</v>
      </c>
      <c r="K4" s="6" t="s">
        <v>2418</v>
      </c>
      <c r="L4" s="6" t="s">
        <v>2419</v>
      </c>
      <c r="M4" s="6" t="s">
        <v>2420</v>
      </c>
      <c r="N4" s="6" t="s">
        <v>2421</v>
      </c>
      <c r="O4" s="6" t="s">
        <v>2422</v>
      </c>
      <c r="P4" s="6" t="s">
        <v>2423</v>
      </c>
      <c r="Q4" s="6" t="s">
        <v>2424</v>
      </c>
      <c r="R4" s="6" t="s">
        <v>2478</v>
      </c>
      <c r="S4" s="6" t="s">
        <v>2479</v>
      </c>
      <c r="T4" s="6" t="s">
        <v>2480</v>
      </c>
      <c r="U4" s="6" t="s">
        <v>2425</v>
      </c>
      <c r="V4" s="6" t="s">
        <v>2426</v>
      </c>
      <c r="W4" s="6" t="s">
        <v>2427</v>
      </c>
      <c r="X4" s="6" t="s">
        <v>2428</v>
      </c>
      <c r="Y4" s="6" t="s">
        <v>2481</v>
      </c>
      <c r="Z4" s="6" t="s">
        <v>2429</v>
      </c>
    </row>
    <row r="5" customFormat="false" ht="158.2" hidden="false" customHeight="false" outlineLevel="0" collapsed="false">
      <c r="A5" s="7" t="s">
        <v>555</v>
      </c>
      <c r="B5" s="7" t="s">
        <v>97</v>
      </c>
      <c r="C5" s="7" t="s">
        <v>551</v>
      </c>
      <c r="D5" s="7" t="s">
        <v>549</v>
      </c>
      <c r="E5" s="7" t="s">
        <v>550</v>
      </c>
      <c r="F5" s="7" t="s">
        <v>552</v>
      </c>
      <c r="G5" s="7" t="s">
        <v>553</v>
      </c>
      <c r="H5" s="7" t="s">
        <v>554</v>
      </c>
      <c r="I5" s="8" t="n">
        <v>0.9</v>
      </c>
      <c r="J5" s="7" t="s">
        <v>250</v>
      </c>
      <c r="K5" s="7" t="s">
        <v>2452</v>
      </c>
      <c r="L5" s="7" t="s">
        <v>2453</v>
      </c>
      <c r="M5" s="7" t="s">
        <v>2433</v>
      </c>
      <c r="N5" s="7" t="s">
        <v>2434</v>
      </c>
      <c r="O5" s="7" t="s">
        <v>2454</v>
      </c>
      <c r="P5" s="7" t="s">
        <v>2455</v>
      </c>
      <c r="Q5" s="7" t="s">
        <v>2482</v>
      </c>
      <c r="R5" s="7" t="s">
        <v>2483</v>
      </c>
      <c r="S5" s="7" t="s">
        <v>557</v>
      </c>
      <c r="T5" s="7" t="s">
        <v>556</v>
      </c>
      <c r="U5" s="7" t="s">
        <v>2438</v>
      </c>
      <c r="V5" s="7" t="s">
        <v>2439</v>
      </c>
      <c r="W5" s="7" t="s">
        <v>2440</v>
      </c>
      <c r="X5" s="7" t="s">
        <v>2441</v>
      </c>
      <c r="Y5" s="7" t="s">
        <v>2484</v>
      </c>
      <c r="Z5" s="7" t="s">
        <v>2442</v>
      </c>
    </row>
    <row r="6" customFormat="false" ht="158.2" hidden="false" customHeight="false" outlineLevel="0" collapsed="false">
      <c r="A6" s="7" t="s">
        <v>567</v>
      </c>
      <c r="B6" s="7" t="s">
        <v>97</v>
      </c>
      <c r="C6" s="7" t="s">
        <v>551</v>
      </c>
      <c r="D6" s="7" t="s">
        <v>562</v>
      </c>
      <c r="E6" s="7" t="s">
        <v>563</v>
      </c>
      <c r="F6" s="7" t="s">
        <v>564</v>
      </c>
      <c r="G6" s="7" t="s">
        <v>565</v>
      </c>
      <c r="H6" s="7" t="s">
        <v>566</v>
      </c>
      <c r="I6" s="8" t="n">
        <v>1</v>
      </c>
      <c r="J6" s="7" t="s">
        <v>250</v>
      </c>
      <c r="K6" s="7" t="s">
        <v>2452</v>
      </c>
      <c r="L6" s="7" t="s">
        <v>2453</v>
      </c>
      <c r="M6" s="7" t="s">
        <v>2433</v>
      </c>
      <c r="N6" s="7" t="s">
        <v>2434</v>
      </c>
      <c r="O6" s="7" t="s">
        <v>2454</v>
      </c>
      <c r="P6" s="7" t="s">
        <v>2455</v>
      </c>
      <c r="Q6" s="7" t="s">
        <v>2485</v>
      </c>
      <c r="R6" s="7" t="s">
        <v>2486</v>
      </c>
      <c r="S6" s="7" t="s">
        <v>569</v>
      </c>
      <c r="T6" s="7" t="s">
        <v>568</v>
      </c>
      <c r="U6" s="7" t="s">
        <v>2438</v>
      </c>
      <c r="V6" s="7" t="s">
        <v>2439</v>
      </c>
      <c r="W6" s="7" t="s">
        <v>2440</v>
      </c>
      <c r="X6" s="7" t="s">
        <v>2441</v>
      </c>
      <c r="Y6" s="7" t="s">
        <v>2484</v>
      </c>
      <c r="Z6" s="7" t="s">
        <v>2442</v>
      </c>
    </row>
    <row r="7" customFormat="false" ht="158.2" hidden="false" customHeight="false" outlineLevel="0" collapsed="false">
      <c r="A7" s="7" t="s">
        <v>578</v>
      </c>
      <c r="B7" s="7" t="s">
        <v>97</v>
      </c>
      <c r="C7" s="7" t="s">
        <v>551</v>
      </c>
      <c r="D7" s="7" t="s">
        <v>573</v>
      </c>
      <c r="E7" s="7" t="s">
        <v>574</v>
      </c>
      <c r="F7" s="7" t="s">
        <v>575</v>
      </c>
      <c r="G7" s="7" t="s">
        <v>576</v>
      </c>
      <c r="H7" s="7" t="s">
        <v>577</v>
      </c>
      <c r="I7" s="8" t="n">
        <v>1</v>
      </c>
      <c r="J7" s="7" t="s">
        <v>367</v>
      </c>
      <c r="K7" s="7" t="s">
        <v>2463</v>
      </c>
      <c r="L7" s="7" t="s">
        <v>2464</v>
      </c>
      <c r="M7" s="7" t="s">
        <v>2433</v>
      </c>
      <c r="N7" s="7" t="s">
        <v>2434</v>
      </c>
      <c r="O7" s="7" t="s">
        <v>2465</v>
      </c>
      <c r="P7" s="7" t="s">
        <v>2466</v>
      </c>
      <c r="Q7" s="7" t="s">
        <v>2487</v>
      </c>
      <c r="R7" s="7"/>
      <c r="S7" s="7" t="s">
        <v>557</v>
      </c>
      <c r="T7" s="7" t="s">
        <v>556</v>
      </c>
      <c r="U7" s="7" t="s">
        <v>2438</v>
      </c>
      <c r="V7" s="7" t="s">
        <v>2439</v>
      </c>
      <c r="W7" s="7" t="s">
        <v>2440</v>
      </c>
      <c r="X7" s="7" t="s">
        <v>2441</v>
      </c>
      <c r="Y7" s="7" t="s">
        <v>2484</v>
      </c>
      <c r="Z7" s="7" t="s">
        <v>2442</v>
      </c>
    </row>
    <row r="8" customFormat="false" ht="158.2" hidden="false" customHeight="false" outlineLevel="0" collapsed="false">
      <c r="A8" s="7" t="s">
        <v>587</v>
      </c>
      <c r="B8" s="7" t="s">
        <v>97</v>
      </c>
      <c r="C8" s="7" t="s">
        <v>551</v>
      </c>
      <c r="D8" s="7" t="s">
        <v>582</v>
      </c>
      <c r="E8" s="7" t="s">
        <v>583</v>
      </c>
      <c r="F8" s="7" t="s">
        <v>584</v>
      </c>
      <c r="G8" s="7" t="s">
        <v>585</v>
      </c>
      <c r="H8" s="7" t="s">
        <v>586</v>
      </c>
      <c r="I8" s="8" t="n">
        <v>0.1</v>
      </c>
      <c r="J8" s="7" t="s">
        <v>347</v>
      </c>
      <c r="K8" s="7" t="s">
        <v>2458</v>
      </c>
      <c r="L8" s="7" t="s">
        <v>2459</v>
      </c>
      <c r="M8" s="7" t="s">
        <v>2433</v>
      </c>
      <c r="N8" s="7" t="s">
        <v>2434</v>
      </c>
      <c r="O8" s="7" t="s">
        <v>2460</v>
      </c>
      <c r="P8" s="7" t="s">
        <v>2461</v>
      </c>
      <c r="Q8" s="7" t="s">
        <v>2488</v>
      </c>
      <c r="R8" s="7"/>
      <c r="S8" s="7" t="s">
        <v>569</v>
      </c>
      <c r="T8" s="7" t="s">
        <v>568</v>
      </c>
      <c r="U8" s="7" t="s">
        <v>2438</v>
      </c>
      <c r="V8" s="7" t="s">
        <v>2439</v>
      </c>
      <c r="W8" s="7" t="s">
        <v>2440</v>
      </c>
      <c r="X8" s="7" t="s">
        <v>2441</v>
      </c>
      <c r="Y8" s="7" t="s">
        <v>2484</v>
      </c>
      <c r="Z8" s="7" t="s">
        <v>2442</v>
      </c>
    </row>
    <row r="9" customFormat="false" ht="158.2" hidden="false" customHeight="false" outlineLevel="0" collapsed="false">
      <c r="A9" s="7" t="s">
        <v>597</v>
      </c>
      <c r="B9" s="7" t="s">
        <v>97</v>
      </c>
      <c r="C9" s="7" t="s">
        <v>551</v>
      </c>
      <c r="D9" s="7" t="s">
        <v>592</v>
      </c>
      <c r="E9" s="7" t="s">
        <v>593</v>
      </c>
      <c r="F9" s="7" t="s">
        <v>594</v>
      </c>
      <c r="G9" s="7" t="s">
        <v>595</v>
      </c>
      <c r="H9" s="7" t="s">
        <v>596</v>
      </c>
      <c r="I9" s="8" t="n">
        <v>0.5</v>
      </c>
      <c r="J9" s="7" t="s">
        <v>598</v>
      </c>
      <c r="K9" s="7" t="s">
        <v>2489</v>
      </c>
      <c r="L9" s="7" t="s">
        <v>2490</v>
      </c>
      <c r="M9" s="7" t="s">
        <v>2433</v>
      </c>
      <c r="N9" s="7" t="s">
        <v>2434</v>
      </c>
      <c r="O9" s="7" t="s">
        <v>2491</v>
      </c>
      <c r="P9" s="7" t="s">
        <v>2492</v>
      </c>
      <c r="Q9" s="7" t="s">
        <v>2493</v>
      </c>
      <c r="R9" s="7"/>
      <c r="S9" s="7" t="s">
        <v>557</v>
      </c>
      <c r="T9" s="7" t="s">
        <v>556</v>
      </c>
      <c r="U9" s="7" t="s">
        <v>2438</v>
      </c>
      <c r="V9" s="7" t="s">
        <v>2439</v>
      </c>
      <c r="W9" s="7" t="s">
        <v>2440</v>
      </c>
      <c r="X9" s="7" t="s">
        <v>2441</v>
      </c>
      <c r="Y9" s="7" t="s">
        <v>2484</v>
      </c>
      <c r="Z9" s="7" t="s">
        <v>2442</v>
      </c>
    </row>
    <row r="10" customFormat="false" ht="158.2" hidden="false" customHeight="false" outlineLevel="0" collapsed="false">
      <c r="A10" s="7" t="s">
        <v>607</v>
      </c>
      <c r="B10" s="7" t="s">
        <v>97</v>
      </c>
      <c r="C10" s="7" t="s">
        <v>551</v>
      </c>
      <c r="D10" s="7" t="s">
        <v>603</v>
      </c>
      <c r="E10" s="7" t="s">
        <v>604</v>
      </c>
      <c r="F10" s="7" t="s">
        <v>594</v>
      </c>
      <c r="G10" s="7" t="s">
        <v>605</v>
      </c>
      <c r="H10" s="7" t="s">
        <v>606</v>
      </c>
      <c r="I10" s="8" t="n">
        <v>0.7</v>
      </c>
      <c r="J10" s="7" t="s">
        <v>523</v>
      </c>
      <c r="K10" s="7" t="s">
        <v>2468</v>
      </c>
      <c r="L10" s="7" t="s">
        <v>2469</v>
      </c>
      <c r="M10" s="7" t="s">
        <v>2433</v>
      </c>
      <c r="N10" s="7" t="s">
        <v>2434</v>
      </c>
      <c r="O10" s="7" t="s">
        <v>2470</v>
      </c>
      <c r="P10" s="7" t="s">
        <v>2471</v>
      </c>
      <c r="Q10" s="7" t="s">
        <v>2493</v>
      </c>
      <c r="R10" s="7"/>
      <c r="S10" s="7" t="s">
        <v>557</v>
      </c>
      <c r="T10" s="7" t="s">
        <v>556</v>
      </c>
      <c r="U10" s="7" t="s">
        <v>2438</v>
      </c>
      <c r="V10" s="7" t="s">
        <v>2439</v>
      </c>
      <c r="W10" s="7" t="s">
        <v>2440</v>
      </c>
      <c r="X10" s="7" t="s">
        <v>2441</v>
      </c>
      <c r="Y10" s="7" t="s">
        <v>2484</v>
      </c>
      <c r="Z10" s="7" t="s">
        <v>2442</v>
      </c>
    </row>
    <row r="11" customFormat="false" ht="158.2" hidden="false" customHeight="false" outlineLevel="0" collapsed="false">
      <c r="A11" s="7" t="s">
        <v>616</v>
      </c>
      <c r="B11" s="7" t="s">
        <v>97</v>
      </c>
      <c r="C11" s="7" t="s">
        <v>551</v>
      </c>
      <c r="D11" s="7" t="s">
        <v>611</v>
      </c>
      <c r="E11" s="7" t="s">
        <v>612</v>
      </c>
      <c r="F11" s="7" t="s">
        <v>613</v>
      </c>
      <c r="G11" s="7" t="s">
        <v>614</v>
      </c>
      <c r="H11" s="7" t="s">
        <v>615</v>
      </c>
      <c r="I11" s="8" t="n">
        <v>0.1</v>
      </c>
      <c r="J11" s="7" t="s">
        <v>523</v>
      </c>
      <c r="K11" s="7" t="s">
        <v>2468</v>
      </c>
      <c r="L11" s="7" t="s">
        <v>2469</v>
      </c>
      <c r="M11" s="7" t="s">
        <v>2433</v>
      </c>
      <c r="N11" s="7" t="s">
        <v>2434</v>
      </c>
      <c r="O11" s="7" t="s">
        <v>2470</v>
      </c>
      <c r="P11" s="7" t="s">
        <v>2471</v>
      </c>
      <c r="Q11" s="7" t="s">
        <v>2494</v>
      </c>
      <c r="R11" s="7"/>
      <c r="S11" s="7" t="s">
        <v>569</v>
      </c>
      <c r="T11" s="7" t="s">
        <v>568</v>
      </c>
      <c r="U11" s="7" t="s">
        <v>2438</v>
      </c>
      <c r="V11" s="7" t="s">
        <v>2439</v>
      </c>
      <c r="W11" s="7" t="s">
        <v>2440</v>
      </c>
      <c r="X11" s="7" t="s">
        <v>2441</v>
      </c>
      <c r="Y11" s="7" t="s">
        <v>2484</v>
      </c>
      <c r="Z11" s="7" t="s">
        <v>2442</v>
      </c>
    </row>
    <row r="12" customFormat="false" ht="158.2" hidden="false" customHeight="false" outlineLevel="0" collapsed="false">
      <c r="A12" s="7" t="s">
        <v>626</v>
      </c>
      <c r="B12" s="7" t="s">
        <v>97</v>
      </c>
      <c r="C12" s="7" t="s">
        <v>551</v>
      </c>
      <c r="D12" s="7" t="s">
        <v>621</v>
      </c>
      <c r="E12" s="7" t="s">
        <v>622</v>
      </c>
      <c r="F12" s="7" t="s">
        <v>623</v>
      </c>
      <c r="G12" s="7" t="s">
        <v>624</v>
      </c>
      <c r="H12" s="7" t="s">
        <v>625</v>
      </c>
      <c r="I12" s="8" t="n">
        <v>0.2</v>
      </c>
      <c r="J12" s="7" t="s">
        <v>627</v>
      </c>
      <c r="K12" s="7" t="s">
        <v>2495</v>
      </c>
      <c r="L12" s="7" t="s">
        <v>2496</v>
      </c>
      <c r="M12" s="7" t="s">
        <v>2433</v>
      </c>
      <c r="N12" s="7" t="s">
        <v>2434</v>
      </c>
      <c r="O12" s="7" t="s">
        <v>2491</v>
      </c>
      <c r="P12" s="7" t="s">
        <v>2497</v>
      </c>
      <c r="Q12" s="7" t="s">
        <v>2498</v>
      </c>
      <c r="R12" s="7"/>
      <c r="S12" s="7" t="s">
        <v>569</v>
      </c>
      <c r="T12" s="7" t="s">
        <v>628</v>
      </c>
      <c r="U12" s="7" t="s">
        <v>2438</v>
      </c>
      <c r="V12" s="7" t="s">
        <v>2439</v>
      </c>
      <c r="W12" s="7" t="s">
        <v>2440</v>
      </c>
      <c r="X12" s="7" t="s">
        <v>2441</v>
      </c>
      <c r="Y12" s="7" t="s">
        <v>2484</v>
      </c>
      <c r="Z12" s="7" t="s">
        <v>2442</v>
      </c>
    </row>
    <row r="13" customFormat="false" ht="158.2" hidden="false" customHeight="false" outlineLevel="0" collapsed="false">
      <c r="A13" s="7" t="s">
        <v>634</v>
      </c>
      <c r="B13" s="7" t="s">
        <v>97</v>
      </c>
      <c r="C13" s="7" t="s">
        <v>551</v>
      </c>
      <c r="D13" s="7" t="s">
        <v>630</v>
      </c>
      <c r="E13" s="7" t="s">
        <v>631</v>
      </c>
      <c r="F13" s="7" t="s">
        <v>623</v>
      </c>
      <c r="G13" s="7" t="s">
        <v>632</v>
      </c>
      <c r="H13" s="7" t="s">
        <v>633</v>
      </c>
      <c r="I13" s="8" t="n">
        <v>0.1</v>
      </c>
      <c r="J13" s="7" t="s">
        <v>250</v>
      </c>
      <c r="K13" s="7" t="s">
        <v>2452</v>
      </c>
      <c r="L13" s="7" t="s">
        <v>2453</v>
      </c>
      <c r="M13" s="7" t="s">
        <v>2433</v>
      </c>
      <c r="N13" s="7" t="s">
        <v>2434</v>
      </c>
      <c r="O13" s="7" t="s">
        <v>2454</v>
      </c>
      <c r="P13" s="7" t="s">
        <v>2455</v>
      </c>
      <c r="Q13" s="7" t="s">
        <v>2498</v>
      </c>
      <c r="R13" s="7"/>
      <c r="S13" s="7" t="s">
        <v>569</v>
      </c>
      <c r="T13" s="7" t="s">
        <v>568</v>
      </c>
      <c r="U13" s="7" t="s">
        <v>2438</v>
      </c>
      <c r="V13" s="7" t="s">
        <v>2439</v>
      </c>
      <c r="W13" s="7" t="s">
        <v>2440</v>
      </c>
      <c r="X13" s="7" t="s">
        <v>2441</v>
      </c>
      <c r="Y13" s="7" t="s">
        <v>2484</v>
      </c>
      <c r="Z13" s="7" t="s">
        <v>2442</v>
      </c>
    </row>
    <row r="14" customFormat="false" ht="158.2" hidden="false" customHeight="false" outlineLevel="0" collapsed="false">
      <c r="A14" s="7" t="s">
        <v>641</v>
      </c>
      <c r="B14" s="7" t="s">
        <v>97</v>
      </c>
      <c r="C14" s="7" t="s">
        <v>551</v>
      </c>
      <c r="D14" s="7" t="s">
        <v>637</v>
      </c>
      <c r="E14" s="7" t="s">
        <v>638</v>
      </c>
      <c r="F14" s="7" t="s">
        <v>584</v>
      </c>
      <c r="G14" s="7" t="s">
        <v>639</v>
      </c>
      <c r="H14" s="7" t="s">
        <v>640</v>
      </c>
      <c r="I14" s="8" t="n">
        <v>0.1</v>
      </c>
      <c r="J14" s="7" t="s">
        <v>347</v>
      </c>
      <c r="K14" s="7" t="s">
        <v>2458</v>
      </c>
      <c r="L14" s="7" t="s">
        <v>2459</v>
      </c>
      <c r="M14" s="7" t="s">
        <v>2433</v>
      </c>
      <c r="N14" s="7" t="s">
        <v>2434</v>
      </c>
      <c r="O14" s="7" t="s">
        <v>2460</v>
      </c>
      <c r="P14" s="7" t="s">
        <v>2461</v>
      </c>
      <c r="Q14" s="7" t="s">
        <v>2488</v>
      </c>
      <c r="R14" s="7"/>
      <c r="S14" s="7" t="s">
        <v>569</v>
      </c>
      <c r="T14" s="7" t="s">
        <v>568</v>
      </c>
      <c r="U14" s="7" t="s">
        <v>2438</v>
      </c>
      <c r="V14" s="7" t="s">
        <v>2439</v>
      </c>
      <c r="W14" s="7" t="s">
        <v>2440</v>
      </c>
      <c r="X14" s="7" t="s">
        <v>2441</v>
      </c>
      <c r="Y14" s="7" t="s">
        <v>2484</v>
      </c>
      <c r="Z14" s="7" t="s">
        <v>2442</v>
      </c>
    </row>
    <row r="15" customFormat="false" ht="158.2" hidden="false" customHeight="false" outlineLevel="0" collapsed="false">
      <c r="A15" s="7" t="s">
        <v>1032</v>
      </c>
      <c r="B15" s="7" t="s">
        <v>97</v>
      </c>
      <c r="C15" s="7" t="s">
        <v>1029</v>
      </c>
      <c r="D15" s="7" t="s">
        <v>766</v>
      </c>
      <c r="E15" s="7" t="s">
        <v>990</v>
      </c>
      <c r="F15" s="7" t="s">
        <v>584</v>
      </c>
      <c r="G15" s="7" t="s">
        <v>1030</v>
      </c>
      <c r="H15" s="7" t="s">
        <v>1031</v>
      </c>
      <c r="I15" s="8" t="n">
        <v>0.3</v>
      </c>
      <c r="J15" s="7" t="s">
        <v>250</v>
      </c>
      <c r="K15" s="7" t="s">
        <v>2452</v>
      </c>
      <c r="L15" s="7" t="s">
        <v>2453</v>
      </c>
      <c r="M15" s="7" t="s">
        <v>2433</v>
      </c>
      <c r="N15" s="7" t="s">
        <v>2434</v>
      </c>
      <c r="O15" s="7" t="s">
        <v>2454</v>
      </c>
      <c r="P15" s="7" t="s">
        <v>2455</v>
      </c>
      <c r="Q15" s="7" t="s">
        <v>2488</v>
      </c>
      <c r="R15" s="7"/>
      <c r="S15" s="7" t="s">
        <v>569</v>
      </c>
      <c r="T15" s="7" t="s">
        <v>568</v>
      </c>
      <c r="U15" s="7" t="s">
        <v>2438</v>
      </c>
      <c r="V15" s="7" t="s">
        <v>2439</v>
      </c>
      <c r="W15" s="7" t="s">
        <v>2440</v>
      </c>
      <c r="X15" s="7" t="s">
        <v>2441</v>
      </c>
      <c r="Y15" s="7" t="s">
        <v>2484</v>
      </c>
      <c r="Z15" s="7" t="s">
        <v>2442</v>
      </c>
    </row>
    <row r="16" customFormat="false" ht="158.2" hidden="false" customHeight="false" outlineLevel="0" collapsed="false">
      <c r="A16" s="7" t="s">
        <v>1038</v>
      </c>
      <c r="B16" s="7" t="s">
        <v>97</v>
      </c>
      <c r="C16" s="7" t="s">
        <v>1029</v>
      </c>
      <c r="D16" s="7" t="s">
        <v>1035</v>
      </c>
      <c r="E16" s="7" t="s">
        <v>657</v>
      </c>
      <c r="F16" s="7" t="s">
        <v>552</v>
      </c>
      <c r="G16" s="7" t="s">
        <v>1036</v>
      </c>
      <c r="H16" s="7" t="s">
        <v>1037</v>
      </c>
      <c r="I16" s="8" t="n">
        <v>1</v>
      </c>
      <c r="J16" s="7" t="s">
        <v>250</v>
      </c>
      <c r="K16" s="7" t="s">
        <v>2452</v>
      </c>
      <c r="L16" s="7" t="s">
        <v>2453</v>
      </c>
      <c r="M16" s="7" t="s">
        <v>2433</v>
      </c>
      <c r="N16" s="7" t="s">
        <v>2434</v>
      </c>
      <c r="O16" s="7" t="s">
        <v>2454</v>
      </c>
      <c r="P16" s="7" t="s">
        <v>2455</v>
      </c>
      <c r="Q16" s="7" t="s">
        <v>2482</v>
      </c>
      <c r="R16" s="7" t="s">
        <v>2499</v>
      </c>
      <c r="S16" s="7" t="s">
        <v>569</v>
      </c>
      <c r="T16" s="7" t="s">
        <v>568</v>
      </c>
      <c r="U16" s="7" t="s">
        <v>2438</v>
      </c>
      <c r="V16" s="7" t="s">
        <v>2439</v>
      </c>
      <c r="W16" s="7" t="s">
        <v>2440</v>
      </c>
      <c r="X16" s="7" t="s">
        <v>2441</v>
      </c>
      <c r="Y16" s="7" t="s">
        <v>2484</v>
      </c>
      <c r="Z16" s="7" t="s">
        <v>2442</v>
      </c>
    </row>
    <row r="17" customFormat="false" ht="158.2" hidden="false" customHeight="false" outlineLevel="0" collapsed="false">
      <c r="A17" s="7" t="s">
        <v>1043</v>
      </c>
      <c r="B17" s="7" t="s">
        <v>97</v>
      </c>
      <c r="C17" s="7" t="s">
        <v>1029</v>
      </c>
      <c r="D17" s="7" t="s">
        <v>1040</v>
      </c>
      <c r="E17" s="7" t="s">
        <v>664</v>
      </c>
      <c r="F17" s="7" t="s">
        <v>552</v>
      </c>
      <c r="G17" s="7" t="s">
        <v>1041</v>
      </c>
      <c r="H17" s="7" t="s">
        <v>1042</v>
      </c>
      <c r="I17" s="8" t="n">
        <v>1.2</v>
      </c>
      <c r="J17" s="7" t="s">
        <v>250</v>
      </c>
      <c r="K17" s="7" t="s">
        <v>2452</v>
      </c>
      <c r="L17" s="7" t="s">
        <v>2453</v>
      </c>
      <c r="M17" s="7" t="s">
        <v>2433</v>
      </c>
      <c r="N17" s="7" t="s">
        <v>2434</v>
      </c>
      <c r="O17" s="7" t="s">
        <v>2454</v>
      </c>
      <c r="P17" s="7" t="s">
        <v>2455</v>
      </c>
      <c r="Q17" s="7" t="s">
        <v>2482</v>
      </c>
      <c r="R17" s="7" t="s">
        <v>2500</v>
      </c>
      <c r="S17" s="7" t="s">
        <v>557</v>
      </c>
      <c r="T17" s="7" t="s">
        <v>556</v>
      </c>
      <c r="U17" s="7" t="s">
        <v>2438</v>
      </c>
      <c r="V17" s="7" t="s">
        <v>2439</v>
      </c>
      <c r="W17" s="7" t="s">
        <v>2440</v>
      </c>
      <c r="X17" s="7" t="s">
        <v>2441</v>
      </c>
      <c r="Y17" s="7" t="s">
        <v>2484</v>
      </c>
      <c r="Z17" s="7" t="s">
        <v>2442</v>
      </c>
    </row>
    <row r="18" customFormat="false" ht="158.2" hidden="false" customHeight="false" outlineLevel="0" collapsed="false">
      <c r="A18" s="7" t="s">
        <v>1046</v>
      </c>
      <c r="B18" s="7" t="s">
        <v>97</v>
      </c>
      <c r="C18" s="7" t="s">
        <v>1029</v>
      </c>
      <c r="D18" s="7" t="s">
        <v>689</v>
      </c>
      <c r="E18" s="7" t="s">
        <v>673</v>
      </c>
      <c r="F18" s="7" t="s">
        <v>552</v>
      </c>
      <c r="G18" s="7" t="s">
        <v>1044</v>
      </c>
      <c r="H18" s="7" t="s">
        <v>1045</v>
      </c>
      <c r="I18" s="8" t="n">
        <v>0.1</v>
      </c>
      <c r="J18" s="7" t="s">
        <v>250</v>
      </c>
      <c r="K18" s="7" t="s">
        <v>2452</v>
      </c>
      <c r="L18" s="7" t="s">
        <v>2453</v>
      </c>
      <c r="M18" s="7" t="s">
        <v>2433</v>
      </c>
      <c r="N18" s="7" t="s">
        <v>2434</v>
      </c>
      <c r="O18" s="7" t="s">
        <v>2454</v>
      </c>
      <c r="P18" s="7" t="s">
        <v>2455</v>
      </c>
      <c r="Q18" s="7" t="s">
        <v>2482</v>
      </c>
      <c r="R18" s="7"/>
      <c r="S18" s="7" t="s">
        <v>569</v>
      </c>
      <c r="T18" s="7" t="s">
        <v>568</v>
      </c>
      <c r="U18" s="7" t="s">
        <v>2438</v>
      </c>
      <c r="V18" s="7" t="s">
        <v>2439</v>
      </c>
      <c r="W18" s="7" t="s">
        <v>2440</v>
      </c>
      <c r="X18" s="7" t="s">
        <v>2441</v>
      </c>
      <c r="Y18" s="7" t="s">
        <v>2484</v>
      </c>
      <c r="Z18" s="7" t="s">
        <v>2442</v>
      </c>
    </row>
    <row r="19" customFormat="false" ht="158.2" hidden="false" customHeight="false" outlineLevel="0" collapsed="false">
      <c r="A19" s="7" t="s">
        <v>1050</v>
      </c>
      <c r="B19" s="7" t="s">
        <v>97</v>
      </c>
      <c r="C19" s="7" t="s">
        <v>1029</v>
      </c>
      <c r="D19" s="7" t="s">
        <v>679</v>
      </c>
      <c r="E19" s="7" t="s">
        <v>677</v>
      </c>
      <c r="F19" s="7" t="s">
        <v>552</v>
      </c>
      <c r="G19" s="7" t="s">
        <v>1048</v>
      </c>
      <c r="H19" s="7" t="s">
        <v>1049</v>
      </c>
      <c r="I19" s="8" t="n">
        <v>0.9</v>
      </c>
      <c r="J19" s="7" t="s">
        <v>250</v>
      </c>
      <c r="K19" s="7" t="s">
        <v>2452</v>
      </c>
      <c r="L19" s="7" t="s">
        <v>2453</v>
      </c>
      <c r="M19" s="7" t="s">
        <v>2433</v>
      </c>
      <c r="N19" s="7" t="s">
        <v>2434</v>
      </c>
      <c r="O19" s="7" t="s">
        <v>2454</v>
      </c>
      <c r="P19" s="7" t="s">
        <v>2455</v>
      </c>
      <c r="Q19" s="7" t="s">
        <v>2482</v>
      </c>
      <c r="R19" s="7"/>
      <c r="S19" s="7" t="s">
        <v>557</v>
      </c>
      <c r="T19" s="7" t="s">
        <v>556</v>
      </c>
      <c r="U19" s="7" t="s">
        <v>2438</v>
      </c>
      <c r="V19" s="7" t="s">
        <v>2439</v>
      </c>
      <c r="W19" s="7" t="s">
        <v>2440</v>
      </c>
      <c r="X19" s="7" t="s">
        <v>2441</v>
      </c>
      <c r="Y19" s="7" t="s">
        <v>2484</v>
      </c>
      <c r="Z19" s="7" t="s">
        <v>2442</v>
      </c>
    </row>
    <row r="20" customFormat="false" ht="158.2" hidden="false" customHeight="false" outlineLevel="0" collapsed="false">
      <c r="A20" s="7" t="s">
        <v>1056</v>
      </c>
      <c r="B20" s="7" t="s">
        <v>97</v>
      </c>
      <c r="C20" s="7" t="s">
        <v>1029</v>
      </c>
      <c r="D20" s="7" t="s">
        <v>1052</v>
      </c>
      <c r="E20" s="7" t="s">
        <v>1053</v>
      </c>
      <c r="F20" s="7" t="s">
        <v>552</v>
      </c>
      <c r="G20" s="7" t="s">
        <v>1054</v>
      </c>
      <c r="H20" s="7" t="s">
        <v>1055</v>
      </c>
      <c r="I20" s="8" t="n">
        <v>0.1</v>
      </c>
      <c r="J20" s="7" t="s">
        <v>523</v>
      </c>
      <c r="K20" s="7" t="s">
        <v>2468</v>
      </c>
      <c r="L20" s="7" t="s">
        <v>2469</v>
      </c>
      <c r="M20" s="7" t="s">
        <v>2433</v>
      </c>
      <c r="N20" s="7" t="s">
        <v>2434</v>
      </c>
      <c r="O20" s="7" t="s">
        <v>2470</v>
      </c>
      <c r="P20" s="7" t="s">
        <v>2471</v>
      </c>
      <c r="Q20" s="7" t="s">
        <v>2482</v>
      </c>
      <c r="R20" s="7"/>
      <c r="S20" s="7" t="s">
        <v>557</v>
      </c>
      <c r="T20" s="7" t="s">
        <v>556</v>
      </c>
      <c r="U20" s="7" t="s">
        <v>2438</v>
      </c>
      <c r="V20" s="7" t="s">
        <v>2439</v>
      </c>
      <c r="W20" s="7" t="s">
        <v>2440</v>
      </c>
      <c r="X20" s="7" t="s">
        <v>2441</v>
      </c>
      <c r="Y20" s="7" t="s">
        <v>2484</v>
      </c>
      <c r="Z20" s="7" t="s">
        <v>2442</v>
      </c>
    </row>
    <row r="21" customFormat="false" ht="158.2" hidden="false" customHeight="false" outlineLevel="0" collapsed="false">
      <c r="A21" s="7" t="s">
        <v>1060</v>
      </c>
      <c r="B21" s="7" t="s">
        <v>97</v>
      </c>
      <c r="C21" s="7" t="s">
        <v>1029</v>
      </c>
      <c r="D21" s="7" t="s">
        <v>666</v>
      </c>
      <c r="E21" s="7" t="s">
        <v>683</v>
      </c>
      <c r="F21" s="7" t="s">
        <v>552</v>
      </c>
      <c r="G21" s="7" t="s">
        <v>1058</v>
      </c>
      <c r="H21" s="7" t="s">
        <v>1059</v>
      </c>
      <c r="I21" s="8" t="n">
        <v>0.4</v>
      </c>
      <c r="J21" s="7" t="s">
        <v>250</v>
      </c>
      <c r="K21" s="7" t="s">
        <v>2452</v>
      </c>
      <c r="L21" s="7" t="s">
        <v>2453</v>
      </c>
      <c r="M21" s="7" t="s">
        <v>2433</v>
      </c>
      <c r="N21" s="7" t="s">
        <v>2434</v>
      </c>
      <c r="O21" s="7" t="s">
        <v>2454</v>
      </c>
      <c r="P21" s="7" t="s">
        <v>2455</v>
      </c>
      <c r="Q21" s="7" t="s">
        <v>2482</v>
      </c>
      <c r="R21" s="7"/>
      <c r="S21" s="7" t="s">
        <v>557</v>
      </c>
      <c r="T21" s="7" t="s">
        <v>556</v>
      </c>
      <c r="U21" s="7" t="s">
        <v>2438</v>
      </c>
      <c r="V21" s="7" t="s">
        <v>2439</v>
      </c>
      <c r="W21" s="7" t="s">
        <v>2440</v>
      </c>
      <c r="X21" s="7" t="s">
        <v>2441</v>
      </c>
      <c r="Y21" s="7" t="s">
        <v>2484</v>
      </c>
      <c r="Z21" s="7" t="s">
        <v>2442</v>
      </c>
    </row>
    <row r="22" customFormat="false" ht="158.2" hidden="false" customHeight="false" outlineLevel="0" collapsed="false">
      <c r="A22" s="7" t="s">
        <v>1064</v>
      </c>
      <c r="B22" s="7" t="s">
        <v>97</v>
      </c>
      <c r="C22" s="7" t="s">
        <v>1029</v>
      </c>
      <c r="D22" s="7" t="s">
        <v>671</v>
      </c>
      <c r="E22" s="7" t="s">
        <v>974</v>
      </c>
      <c r="F22" s="7" t="s">
        <v>552</v>
      </c>
      <c r="G22" s="7" t="s">
        <v>1062</v>
      </c>
      <c r="H22" s="7" t="s">
        <v>1063</v>
      </c>
      <c r="I22" s="8" t="n">
        <v>0.3</v>
      </c>
      <c r="J22" s="7" t="s">
        <v>250</v>
      </c>
      <c r="K22" s="7" t="s">
        <v>2452</v>
      </c>
      <c r="L22" s="7" t="s">
        <v>2453</v>
      </c>
      <c r="M22" s="7" t="s">
        <v>2433</v>
      </c>
      <c r="N22" s="7" t="s">
        <v>2434</v>
      </c>
      <c r="O22" s="7" t="s">
        <v>2454</v>
      </c>
      <c r="P22" s="7" t="s">
        <v>2455</v>
      </c>
      <c r="Q22" s="7" t="s">
        <v>2482</v>
      </c>
      <c r="R22" s="7"/>
      <c r="S22" s="7"/>
      <c r="T22" s="7" t="s">
        <v>1065</v>
      </c>
      <c r="U22" s="7" t="s">
        <v>2438</v>
      </c>
      <c r="V22" s="7" t="s">
        <v>2439</v>
      </c>
      <c r="W22" s="7" t="s">
        <v>2440</v>
      </c>
      <c r="X22" s="7" t="s">
        <v>2441</v>
      </c>
      <c r="Y22" s="7" t="s">
        <v>2484</v>
      </c>
      <c r="Z22" s="7" t="s">
        <v>2442</v>
      </c>
    </row>
    <row r="23" customFormat="false" ht="158.2" hidden="false" customHeight="false" outlineLevel="0" collapsed="false">
      <c r="A23" s="7" t="s">
        <v>1069</v>
      </c>
      <c r="B23" s="7" t="s">
        <v>97</v>
      </c>
      <c r="C23" s="7" t="s">
        <v>1029</v>
      </c>
      <c r="D23" s="7" t="s">
        <v>1066</v>
      </c>
      <c r="E23" s="7" t="s">
        <v>1067</v>
      </c>
      <c r="F23" s="7" t="s">
        <v>552</v>
      </c>
      <c r="G23" s="7" t="s">
        <v>1068</v>
      </c>
      <c r="H23" s="7" t="s">
        <v>1063</v>
      </c>
      <c r="I23" s="8" t="n">
        <v>0.1</v>
      </c>
      <c r="J23" s="7" t="s">
        <v>250</v>
      </c>
      <c r="K23" s="7" t="s">
        <v>2452</v>
      </c>
      <c r="L23" s="7" t="s">
        <v>2453</v>
      </c>
      <c r="M23" s="7" t="s">
        <v>2433</v>
      </c>
      <c r="N23" s="7" t="s">
        <v>2434</v>
      </c>
      <c r="O23" s="7" t="s">
        <v>2454</v>
      </c>
      <c r="P23" s="7" t="s">
        <v>2455</v>
      </c>
      <c r="Q23" s="7" t="s">
        <v>2482</v>
      </c>
      <c r="R23" s="7"/>
      <c r="S23" s="7" t="s">
        <v>557</v>
      </c>
      <c r="T23" s="7" t="s">
        <v>556</v>
      </c>
      <c r="U23" s="7" t="s">
        <v>2438</v>
      </c>
      <c r="V23" s="7" t="s">
        <v>2439</v>
      </c>
      <c r="W23" s="7" t="s">
        <v>2440</v>
      </c>
      <c r="X23" s="7" t="s">
        <v>2441</v>
      </c>
      <c r="Y23" s="7" t="s">
        <v>2484</v>
      </c>
      <c r="Z23" s="7" t="s">
        <v>2442</v>
      </c>
    </row>
    <row r="24" customFormat="false" ht="169.4" hidden="false" customHeight="false" outlineLevel="0" collapsed="false">
      <c r="A24" s="7" t="s">
        <v>1072</v>
      </c>
      <c r="B24" s="7" t="s">
        <v>97</v>
      </c>
      <c r="C24" s="7" t="s">
        <v>1029</v>
      </c>
      <c r="D24" s="7" t="s">
        <v>697</v>
      </c>
      <c r="E24" s="7" t="s">
        <v>977</v>
      </c>
      <c r="F24" s="7" t="s">
        <v>564</v>
      </c>
      <c r="G24" s="7" t="s">
        <v>1070</v>
      </c>
      <c r="H24" s="7" t="s">
        <v>1071</v>
      </c>
      <c r="I24" s="8" t="n">
        <v>1.4</v>
      </c>
      <c r="J24" s="7" t="s">
        <v>250</v>
      </c>
      <c r="K24" s="7" t="s">
        <v>2452</v>
      </c>
      <c r="L24" s="7" t="s">
        <v>2453</v>
      </c>
      <c r="M24" s="7" t="s">
        <v>2433</v>
      </c>
      <c r="N24" s="7" t="s">
        <v>2434</v>
      </c>
      <c r="O24" s="7" t="s">
        <v>2454</v>
      </c>
      <c r="P24" s="7" t="s">
        <v>2455</v>
      </c>
      <c r="Q24" s="7" t="s">
        <v>2485</v>
      </c>
      <c r="R24" s="7"/>
      <c r="S24" s="7" t="s">
        <v>569</v>
      </c>
      <c r="T24" s="7" t="s">
        <v>568</v>
      </c>
      <c r="U24" s="7" t="s">
        <v>2438</v>
      </c>
      <c r="V24" s="7" t="s">
        <v>2439</v>
      </c>
      <c r="W24" s="7" t="s">
        <v>2440</v>
      </c>
      <c r="X24" s="7" t="s">
        <v>2441</v>
      </c>
      <c r="Y24" s="7" t="s">
        <v>2484</v>
      </c>
      <c r="Z24" s="7" t="s">
        <v>2442</v>
      </c>
    </row>
    <row r="25" customFormat="false" ht="158.2" hidden="false" customHeight="false" outlineLevel="0" collapsed="false">
      <c r="A25" s="7" t="s">
        <v>1077</v>
      </c>
      <c r="B25" s="7" t="s">
        <v>97</v>
      </c>
      <c r="C25" s="7" t="s">
        <v>1029</v>
      </c>
      <c r="D25" s="7" t="s">
        <v>1074</v>
      </c>
      <c r="E25" s="7" t="s">
        <v>588</v>
      </c>
      <c r="F25" s="7" t="s">
        <v>575</v>
      </c>
      <c r="G25" s="7" t="s">
        <v>1075</v>
      </c>
      <c r="H25" s="7" t="s">
        <v>1076</v>
      </c>
      <c r="I25" s="8" t="n">
        <v>0.2</v>
      </c>
      <c r="J25" s="7" t="s">
        <v>367</v>
      </c>
      <c r="K25" s="7" t="s">
        <v>2463</v>
      </c>
      <c r="L25" s="7" t="s">
        <v>2464</v>
      </c>
      <c r="M25" s="7" t="s">
        <v>2433</v>
      </c>
      <c r="N25" s="7" t="s">
        <v>2434</v>
      </c>
      <c r="O25" s="7" t="s">
        <v>2465</v>
      </c>
      <c r="P25" s="7" t="s">
        <v>2466</v>
      </c>
      <c r="Q25" s="7" t="s">
        <v>2487</v>
      </c>
      <c r="R25" s="7"/>
      <c r="S25" s="7" t="s">
        <v>569</v>
      </c>
      <c r="T25" s="7" t="s">
        <v>568</v>
      </c>
      <c r="U25" s="7" t="s">
        <v>2438</v>
      </c>
      <c r="V25" s="7" t="s">
        <v>2439</v>
      </c>
      <c r="W25" s="7" t="s">
        <v>2440</v>
      </c>
      <c r="X25" s="7" t="s">
        <v>2441</v>
      </c>
      <c r="Y25" s="7" t="s">
        <v>2484</v>
      </c>
      <c r="Z25" s="7" t="s">
        <v>2442</v>
      </c>
    </row>
    <row r="26" customFormat="false" ht="158.2" hidden="false" customHeight="false" outlineLevel="0" collapsed="false">
      <c r="A26" s="7" t="s">
        <v>1082</v>
      </c>
      <c r="B26" s="7" t="s">
        <v>97</v>
      </c>
      <c r="C26" s="7" t="s">
        <v>1029</v>
      </c>
      <c r="D26" s="7" t="s">
        <v>1078</v>
      </c>
      <c r="E26" s="7" t="s">
        <v>1079</v>
      </c>
      <c r="F26" s="7" t="s">
        <v>575</v>
      </c>
      <c r="G26" s="7" t="s">
        <v>1080</v>
      </c>
      <c r="H26" s="7" t="s">
        <v>1081</v>
      </c>
      <c r="I26" s="8" t="n">
        <v>0.5</v>
      </c>
      <c r="J26" s="7" t="s">
        <v>367</v>
      </c>
      <c r="K26" s="7" t="s">
        <v>2463</v>
      </c>
      <c r="L26" s="7" t="s">
        <v>2464</v>
      </c>
      <c r="M26" s="7" t="s">
        <v>2433</v>
      </c>
      <c r="N26" s="7" t="s">
        <v>2434</v>
      </c>
      <c r="O26" s="7" t="s">
        <v>2465</v>
      </c>
      <c r="P26" s="7" t="s">
        <v>2466</v>
      </c>
      <c r="Q26" s="7" t="s">
        <v>2487</v>
      </c>
      <c r="R26" s="7"/>
      <c r="S26" s="7" t="s">
        <v>569</v>
      </c>
      <c r="T26" s="7" t="s">
        <v>568</v>
      </c>
      <c r="U26" s="7" t="s">
        <v>2438</v>
      </c>
      <c r="V26" s="7" t="s">
        <v>2439</v>
      </c>
      <c r="W26" s="7" t="s">
        <v>2440</v>
      </c>
      <c r="X26" s="7" t="s">
        <v>2441</v>
      </c>
      <c r="Y26" s="7" t="s">
        <v>2484</v>
      </c>
      <c r="Z26" s="7" t="s">
        <v>2442</v>
      </c>
    </row>
    <row r="27" customFormat="false" ht="158.2" hidden="false" customHeight="false" outlineLevel="0" collapsed="false">
      <c r="A27" s="7" t="s">
        <v>1085</v>
      </c>
      <c r="B27" s="7" t="s">
        <v>97</v>
      </c>
      <c r="C27" s="7" t="s">
        <v>1029</v>
      </c>
      <c r="D27" s="7" t="s">
        <v>705</v>
      </c>
      <c r="E27" s="7" t="s">
        <v>978</v>
      </c>
      <c r="F27" s="7" t="s">
        <v>575</v>
      </c>
      <c r="G27" s="7" t="s">
        <v>1083</v>
      </c>
      <c r="H27" s="7" t="s">
        <v>1084</v>
      </c>
      <c r="I27" s="8" t="n">
        <v>0.7</v>
      </c>
      <c r="J27" s="7" t="s">
        <v>367</v>
      </c>
      <c r="K27" s="7" t="s">
        <v>2463</v>
      </c>
      <c r="L27" s="7" t="s">
        <v>2464</v>
      </c>
      <c r="M27" s="7" t="s">
        <v>2433</v>
      </c>
      <c r="N27" s="7" t="s">
        <v>2434</v>
      </c>
      <c r="O27" s="7" t="s">
        <v>2465</v>
      </c>
      <c r="P27" s="7" t="s">
        <v>2466</v>
      </c>
      <c r="Q27" s="7" t="s">
        <v>2487</v>
      </c>
      <c r="R27" s="7"/>
      <c r="S27" s="7" t="s">
        <v>557</v>
      </c>
      <c r="T27" s="7" t="s">
        <v>556</v>
      </c>
      <c r="U27" s="7" t="s">
        <v>2438</v>
      </c>
      <c r="V27" s="7" t="s">
        <v>2439</v>
      </c>
      <c r="W27" s="7" t="s">
        <v>2440</v>
      </c>
      <c r="X27" s="7" t="s">
        <v>2441</v>
      </c>
      <c r="Y27" s="7" t="s">
        <v>2484</v>
      </c>
      <c r="Z27" s="7" t="s">
        <v>2442</v>
      </c>
    </row>
    <row r="28" customFormat="false" ht="158.2" hidden="false" customHeight="false" outlineLevel="0" collapsed="false">
      <c r="A28" s="7" t="s">
        <v>1090</v>
      </c>
      <c r="B28" s="7" t="s">
        <v>97</v>
      </c>
      <c r="C28" s="7" t="s">
        <v>1029</v>
      </c>
      <c r="D28" s="7" t="s">
        <v>1086</v>
      </c>
      <c r="E28" s="7" t="s">
        <v>1087</v>
      </c>
      <c r="F28" s="7" t="s">
        <v>575</v>
      </c>
      <c r="G28" s="7" t="s">
        <v>1088</v>
      </c>
      <c r="H28" s="7" t="s">
        <v>1089</v>
      </c>
      <c r="I28" s="8" t="n">
        <v>1.5</v>
      </c>
      <c r="J28" s="7" t="s">
        <v>367</v>
      </c>
      <c r="K28" s="7" t="s">
        <v>2463</v>
      </c>
      <c r="L28" s="7" t="s">
        <v>2464</v>
      </c>
      <c r="M28" s="7" t="s">
        <v>2433</v>
      </c>
      <c r="N28" s="7" t="s">
        <v>2434</v>
      </c>
      <c r="O28" s="7" t="s">
        <v>2465</v>
      </c>
      <c r="P28" s="7" t="s">
        <v>2466</v>
      </c>
      <c r="Q28" s="7" t="s">
        <v>2487</v>
      </c>
      <c r="R28" s="7"/>
      <c r="S28" s="7" t="s">
        <v>557</v>
      </c>
      <c r="T28" s="7" t="s">
        <v>556</v>
      </c>
      <c r="U28" s="7" t="s">
        <v>2438</v>
      </c>
      <c r="V28" s="7" t="s">
        <v>2439</v>
      </c>
      <c r="W28" s="7" t="s">
        <v>2440</v>
      </c>
      <c r="X28" s="7" t="s">
        <v>2441</v>
      </c>
      <c r="Y28" s="7" t="s">
        <v>2484</v>
      </c>
      <c r="Z28" s="7" t="s">
        <v>2442</v>
      </c>
    </row>
    <row r="29" customFormat="false" ht="158.2" hidden="false" customHeight="false" outlineLevel="0" collapsed="false">
      <c r="A29" s="7" t="s">
        <v>1096</v>
      </c>
      <c r="B29" s="7" t="s">
        <v>97</v>
      </c>
      <c r="C29" s="7" t="s">
        <v>1029</v>
      </c>
      <c r="D29" s="7" t="s">
        <v>1092</v>
      </c>
      <c r="E29" s="7" t="s">
        <v>1093</v>
      </c>
      <c r="F29" s="7" t="s">
        <v>575</v>
      </c>
      <c r="G29" s="7" t="s">
        <v>1094</v>
      </c>
      <c r="H29" s="7" t="s">
        <v>1095</v>
      </c>
      <c r="I29" s="8" t="n">
        <v>1</v>
      </c>
      <c r="J29" s="7" t="s">
        <v>367</v>
      </c>
      <c r="K29" s="7" t="s">
        <v>2463</v>
      </c>
      <c r="L29" s="7" t="s">
        <v>2464</v>
      </c>
      <c r="M29" s="7" t="s">
        <v>2433</v>
      </c>
      <c r="N29" s="7" t="s">
        <v>2434</v>
      </c>
      <c r="O29" s="7" t="s">
        <v>2465</v>
      </c>
      <c r="P29" s="7" t="s">
        <v>2466</v>
      </c>
      <c r="Q29" s="7" t="s">
        <v>2487</v>
      </c>
      <c r="R29" s="7"/>
      <c r="S29" s="7" t="s">
        <v>557</v>
      </c>
      <c r="T29" s="7" t="s">
        <v>556</v>
      </c>
      <c r="U29" s="7" t="s">
        <v>2438</v>
      </c>
      <c r="V29" s="7" t="s">
        <v>2439</v>
      </c>
      <c r="W29" s="7" t="s">
        <v>2440</v>
      </c>
      <c r="X29" s="7" t="s">
        <v>2441</v>
      </c>
      <c r="Y29" s="7" t="s">
        <v>2484</v>
      </c>
      <c r="Z29" s="7" t="s">
        <v>2442</v>
      </c>
    </row>
    <row r="30" customFormat="false" ht="158.2" hidden="false" customHeight="false" outlineLevel="0" collapsed="false">
      <c r="A30" s="7" t="s">
        <v>1100</v>
      </c>
      <c r="B30" s="7" t="s">
        <v>97</v>
      </c>
      <c r="C30" s="7" t="s">
        <v>1029</v>
      </c>
      <c r="D30" s="7" t="s">
        <v>717</v>
      </c>
      <c r="E30" s="7" t="s">
        <v>981</v>
      </c>
      <c r="F30" s="7" t="s">
        <v>575</v>
      </c>
      <c r="G30" s="7" t="s">
        <v>1098</v>
      </c>
      <c r="H30" s="7" t="s">
        <v>1099</v>
      </c>
      <c r="I30" s="8" t="n">
        <v>0.1</v>
      </c>
      <c r="J30" s="7" t="s">
        <v>367</v>
      </c>
      <c r="K30" s="7" t="s">
        <v>2463</v>
      </c>
      <c r="L30" s="7" t="s">
        <v>2464</v>
      </c>
      <c r="M30" s="7" t="s">
        <v>2433</v>
      </c>
      <c r="N30" s="7" t="s">
        <v>2434</v>
      </c>
      <c r="O30" s="7" t="s">
        <v>2465</v>
      </c>
      <c r="P30" s="7" t="s">
        <v>2466</v>
      </c>
      <c r="Q30" s="7" t="s">
        <v>2487</v>
      </c>
      <c r="R30" s="7"/>
      <c r="S30" s="7" t="s">
        <v>557</v>
      </c>
      <c r="T30" s="7" t="s">
        <v>556</v>
      </c>
      <c r="U30" s="7" t="s">
        <v>2438</v>
      </c>
      <c r="V30" s="7" t="s">
        <v>2439</v>
      </c>
      <c r="W30" s="7" t="s">
        <v>2440</v>
      </c>
      <c r="X30" s="7" t="s">
        <v>2441</v>
      </c>
      <c r="Y30" s="7" t="s">
        <v>2484</v>
      </c>
      <c r="Z30" s="7" t="s">
        <v>2442</v>
      </c>
    </row>
    <row r="31" customFormat="false" ht="158.2" hidden="false" customHeight="false" outlineLevel="0" collapsed="false">
      <c r="A31" s="7" t="s">
        <v>1103</v>
      </c>
      <c r="B31" s="7" t="s">
        <v>97</v>
      </c>
      <c r="C31" s="7" t="s">
        <v>1029</v>
      </c>
      <c r="D31" s="7" t="s">
        <v>725</v>
      </c>
      <c r="E31" s="7" t="s">
        <v>982</v>
      </c>
      <c r="F31" s="7" t="s">
        <v>584</v>
      </c>
      <c r="G31" s="7" t="s">
        <v>1101</v>
      </c>
      <c r="H31" s="7" t="s">
        <v>1102</v>
      </c>
      <c r="I31" s="8" t="n">
        <v>0.3</v>
      </c>
      <c r="J31" s="7" t="s">
        <v>250</v>
      </c>
      <c r="K31" s="7" t="s">
        <v>2452</v>
      </c>
      <c r="L31" s="7" t="s">
        <v>2453</v>
      </c>
      <c r="M31" s="7" t="s">
        <v>2433</v>
      </c>
      <c r="N31" s="7" t="s">
        <v>2434</v>
      </c>
      <c r="O31" s="7" t="s">
        <v>2454</v>
      </c>
      <c r="P31" s="7" t="s">
        <v>2455</v>
      </c>
      <c r="Q31" s="7" t="s">
        <v>2488</v>
      </c>
      <c r="R31" s="7" t="s">
        <v>2501</v>
      </c>
      <c r="S31" s="7" t="s">
        <v>569</v>
      </c>
      <c r="T31" s="7" t="s">
        <v>568</v>
      </c>
      <c r="U31" s="7" t="s">
        <v>2438</v>
      </c>
      <c r="V31" s="7" t="s">
        <v>2439</v>
      </c>
      <c r="W31" s="7" t="s">
        <v>2440</v>
      </c>
      <c r="X31" s="7" t="s">
        <v>2441</v>
      </c>
      <c r="Y31" s="7" t="s">
        <v>2484</v>
      </c>
      <c r="Z31" s="7" t="s">
        <v>2442</v>
      </c>
    </row>
    <row r="32" customFormat="false" ht="158.2" hidden="false" customHeight="false" outlineLevel="0" collapsed="false">
      <c r="A32" s="7" t="s">
        <v>1106</v>
      </c>
      <c r="B32" s="7" t="s">
        <v>97</v>
      </c>
      <c r="C32" s="7" t="s">
        <v>1029</v>
      </c>
      <c r="D32" s="7" t="s">
        <v>729</v>
      </c>
      <c r="E32" s="7" t="s">
        <v>983</v>
      </c>
      <c r="F32" s="7" t="s">
        <v>584</v>
      </c>
      <c r="G32" s="7" t="s">
        <v>1104</v>
      </c>
      <c r="H32" s="7" t="s">
        <v>1105</v>
      </c>
      <c r="I32" s="8" t="n">
        <v>0.2</v>
      </c>
      <c r="J32" s="7" t="s">
        <v>347</v>
      </c>
      <c r="K32" s="7" t="s">
        <v>2458</v>
      </c>
      <c r="L32" s="7" t="s">
        <v>2459</v>
      </c>
      <c r="M32" s="7" t="s">
        <v>2433</v>
      </c>
      <c r="N32" s="7" t="s">
        <v>2434</v>
      </c>
      <c r="O32" s="7" t="s">
        <v>2460</v>
      </c>
      <c r="P32" s="7" t="s">
        <v>2461</v>
      </c>
      <c r="Q32" s="7" t="s">
        <v>2488</v>
      </c>
      <c r="R32" s="7"/>
      <c r="S32" s="7" t="s">
        <v>569</v>
      </c>
      <c r="T32" s="7" t="s">
        <v>568</v>
      </c>
      <c r="U32" s="7" t="s">
        <v>2438</v>
      </c>
      <c r="V32" s="7" t="s">
        <v>2439</v>
      </c>
      <c r="W32" s="7" t="s">
        <v>2440</v>
      </c>
      <c r="X32" s="7" t="s">
        <v>2441</v>
      </c>
      <c r="Y32" s="7" t="s">
        <v>2484</v>
      </c>
      <c r="Z32" s="7" t="s">
        <v>2442</v>
      </c>
    </row>
    <row r="33" customFormat="false" ht="158.2" hidden="false" customHeight="false" outlineLevel="0" collapsed="false">
      <c r="A33" s="7" t="s">
        <v>1109</v>
      </c>
      <c r="B33" s="7" t="s">
        <v>97</v>
      </c>
      <c r="C33" s="7" t="s">
        <v>1029</v>
      </c>
      <c r="D33" s="7" t="s">
        <v>733</v>
      </c>
      <c r="E33" s="7" t="s">
        <v>984</v>
      </c>
      <c r="F33" s="7" t="s">
        <v>584</v>
      </c>
      <c r="G33" s="7" t="s">
        <v>1107</v>
      </c>
      <c r="H33" s="7" t="s">
        <v>1108</v>
      </c>
      <c r="I33" s="8" t="n">
        <v>0.3</v>
      </c>
      <c r="J33" s="7" t="s">
        <v>347</v>
      </c>
      <c r="K33" s="7" t="s">
        <v>2458</v>
      </c>
      <c r="L33" s="7" t="s">
        <v>2459</v>
      </c>
      <c r="M33" s="7" t="s">
        <v>2433</v>
      </c>
      <c r="N33" s="7" t="s">
        <v>2434</v>
      </c>
      <c r="O33" s="7" t="s">
        <v>2460</v>
      </c>
      <c r="P33" s="7" t="s">
        <v>2461</v>
      </c>
      <c r="Q33" s="7" t="s">
        <v>2488</v>
      </c>
      <c r="R33" s="7"/>
      <c r="S33" s="7" t="s">
        <v>569</v>
      </c>
      <c r="T33" s="7" t="s">
        <v>568</v>
      </c>
      <c r="U33" s="7" t="s">
        <v>2438</v>
      </c>
      <c r="V33" s="7" t="s">
        <v>2439</v>
      </c>
      <c r="W33" s="7" t="s">
        <v>2440</v>
      </c>
      <c r="X33" s="7" t="s">
        <v>2441</v>
      </c>
      <c r="Y33" s="7" t="s">
        <v>2484</v>
      </c>
      <c r="Z33" s="7" t="s">
        <v>2442</v>
      </c>
    </row>
    <row r="34" customFormat="false" ht="158.2" hidden="false" customHeight="false" outlineLevel="0" collapsed="false">
      <c r="A34" s="7" t="s">
        <v>1112</v>
      </c>
      <c r="B34" s="7" t="s">
        <v>97</v>
      </c>
      <c r="C34" s="7" t="s">
        <v>1029</v>
      </c>
      <c r="D34" s="7" t="s">
        <v>747</v>
      </c>
      <c r="E34" s="7" t="s">
        <v>986</v>
      </c>
      <c r="F34" s="7" t="s">
        <v>584</v>
      </c>
      <c r="G34" s="7" t="s">
        <v>1110</v>
      </c>
      <c r="H34" s="7" t="s">
        <v>1111</v>
      </c>
      <c r="I34" s="8" t="n">
        <v>0.1</v>
      </c>
      <c r="J34" s="7" t="s">
        <v>347</v>
      </c>
      <c r="K34" s="7" t="s">
        <v>2458</v>
      </c>
      <c r="L34" s="7" t="s">
        <v>2459</v>
      </c>
      <c r="M34" s="7" t="s">
        <v>2433</v>
      </c>
      <c r="N34" s="7" t="s">
        <v>2434</v>
      </c>
      <c r="O34" s="7" t="s">
        <v>2460</v>
      </c>
      <c r="P34" s="7" t="s">
        <v>2461</v>
      </c>
      <c r="Q34" s="7" t="s">
        <v>2488</v>
      </c>
      <c r="R34" s="7"/>
      <c r="S34" s="7" t="s">
        <v>569</v>
      </c>
      <c r="T34" s="7" t="s">
        <v>568</v>
      </c>
      <c r="U34" s="7" t="s">
        <v>2438</v>
      </c>
      <c r="V34" s="7" t="s">
        <v>2439</v>
      </c>
      <c r="W34" s="7" t="s">
        <v>2440</v>
      </c>
      <c r="X34" s="7" t="s">
        <v>2441</v>
      </c>
      <c r="Y34" s="7" t="s">
        <v>2484</v>
      </c>
      <c r="Z34" s="7" t="s">
        <v>2442</v>
      </c>
    </row>
    <row r="35" customFormat="false" ht="158.2" hidden="false" customHeight="false" outlineLevel="0" collapsed="false">
      <c r="A35" s="7" t="s">
        <v>1116</v>
      </c>
      <c r="B35" s="7" t="s">
        <v>97</v>
      </c>
      <c r="C35" s="7" t="s">
        <v>1029</v>
      </c>
      <c r="D35" s="7" t="s">
        <v>743</v>
      </c>
      <c r="E35" s="7" t="s">
        <v>985</v>
      </c>
      <c r="F35" s="7" t="s">
        <v>584</v>
      </c>
      <c r="G35" s="7" t="s">
        <v>1114</v>
      </c>
      <c r="H35" s="7" t="s">
        <v>1115</v>
      </c>
      <c r="I35" s="8" t="n">
        <v>0.1</v>
      </c>
      <c r="J35" s="7" t="s">
        <v>347</v>
      </c>
      <c r="K35" s="7" t="s">
        <v>2458</v>
      </c>
      <c r="L35" s="7" t="s">
        <v>2459</v>
      </c>
      <c r="M35" s="7" t="s">
        <v>2433</v>
      </c>
      <c r="N35" s="7" t="s">
        <v>2434</v>
      </c>
      <c r="O35" s="7" t="s">
        <v>2460</v>
      </c>
      <c r="P35" s="7" t="s">
        <v>2461</v>
      </c>
      <c r="Q35" s="7" t="s">
        <v>2488</v>
      </c>
      <c r="R35" s="7"/>
      <c r="S35" s="7" t="s">
        <v>569</v>
      </c>
      <c r="T35" s="7" t="s">
        <v>568</v>
      </c>
      <c r="U35" s="7" t="s">
        <v>2438</v>
      </c>
      <c r="V35" s="7" t="s">
        <v>2439</v>
      </c>
      <c r="W35" s="7" t="s">
        <v>2440</v>
      </c>
      <c r="X35" s="7" t="s">
        <v>2441</v>
      </c>
      <c r="Y35" s="7" t="s">
        <v>2484</v>
      </c>
      <c r="Z35" s="7" t="s">
        <v>2442</v>
      </c>
    </row>
    <row r="36" customFormat="false" ht="158.2" hidden="false" customHeight="false" outlineLevel="0" collapsed="false">
      <c r="A36" s="7" t="s">
        <v>1119</v>
      </c>
      <c r="B36" s="7" t="s">
        <v>97</v>
      </c>
      <c r="C36" s="7" t="s">
        <v>1029</v>
      </c>
      <c r="D36" s="7" t="s">
        <v>751</v>
      </c>
      <c r="E36" s="7" t="s">
        <v>987</v>
      </c>
      <c r="F36" s="7" t="s">
        <v>584</v>
      </c>
      <c r="G36" s="7" t="s">
        <v>1117</v>
      </c>
      <c r="H36" s="7" t="s">
        <v>1118</v>
      </c>
      <c r="I36" s="8" t="n">
        <v>0.2</v>
      </c>
      <c r="J36" s="7" t="s">
        <v>250</v>
      </c>
      <c r="K36" s="7" t="s">
        <v>2452</v>
      </c>
      <c r="L36" s="7" t="s">
        <v>2453</v>
      </c>
      <c r="M36" s="7" t="s">
        <v>2433</v>
      </c>
      <c r="N36" s="7" t="s">
        <v>2434</v>
      </c>
      <c r="O36" s="7" t="s">
        <v>2454</v>
      </c>
      <c r="P36" s="7" t="s">
        <v>2455</v>
      </c>
      <c r="Q36" s="7" t="s">
        <v>2488</v>
      </c>
      <c r="R36" s="7"/>
      <c r="S36" s="7" t="s">
        <v>569</v>
      </c>
      <c r="T36" s="7" t="s">
        <v>568</v>
      </c>
      <c r="U36" s="7" t="s">
        <v>2438</v>
      </c>
      <c r="V36" s="7" t="s">
        <v>2439</v>
      </c>
      <c r="W36" s="7" t="s">
        <v>2440</v>
      </c>
      <c r="X36" s="7" t="s">
        <v>2441</v>
      </c>
      <c r="Y36" s="7" t="s">
        <v>2484</v>
      </c>
      <c r="Z36" s="7" t="s">
        <v>2442</v>
      </c>
    </row>
    <row r="37" customFormat="false" ht="158.2" hidden="false" customHeight="false" outlineLevel="0" collapsed="false">
      <c r="A37" s="7" t="s">
        <v>1124</v>
      </c>
      <c r="B37" s="7" t="s">
        <v>97</v>
      </c>
      <c r="C37" s="7" t="s">
        <v>1029</v>
      </c>
      <c r="D37" s="7" t="s">
        <v>755</v>
      </c>
      <c r="E37" s="7" t="s">
        <v>988</v>
      </c>
      <c r="F37" s="7" t="s">
        <v>584</v>
      </c>
      <c r="G37" s="7" t="s">
        <v>1122</v>
      </c>
      <c r="H37" s="7" t="s">
        <v>1123</v>
      </c>
      <c r="I37" s="8" t="n">
        <v>0.4</v>
      </c>
      <c r="J37" s="7" t="s">
        <v>347</v>
      </c>
      <c r="K37" s="7" t="s">
        <v>2458</v>
      </c>
      <c r="L37" s="7" t="s">
        <v>2459</v>
      </c>
      <c r="M37" s="7" t="s">
        <v>2433</v>
      </c>
      <c r="N37" s="7" t="s">
        <v>2434</v>
      </c>
      <c r="O37" s="7" t="s">
        <v>2460</v>
      </c>
      <c r="P37" s="7" t="s">
        <v>2461</v>
      </c>
      <c r="Q37" s="7" t="s">
        <v>2488</v>
      </c>
      <c r="R37" s="7"/>
      <c r="S37" s="7" t="s">
        <v>569</v>
      </c>
      <c r="T37" s="7" t="s">
        <v>628</v>
      </c>
      <c r="U37" s="7" t="s">
        <v>2438</v>
      </c>
      <c r="V37" s="7" t="s">
        <v>2439</v>
      </c>
      <c r="W37" s="7" t="s">
        <v>2440</v>
      </c>
      <c r="X37" s="7" t="s">
        <v>2441</v>
      </c>
      <c r="Y37" s="7" t="s">
        <v>2484</v>
      </c>
      <c r="Z37" s="7" t="s">
        <v>2442</v>
      </c>
    </row>
    <row r="38" customFormat="false" ht="158.2" hidden="false" customHeight="false" outlineLevel="0" collapsed="false">
      <c r="A38" s="7" t="s">
        <v>1129</v>
      </c>
      <c r="B38" s="7" t="s">
        <v>97</v>
      </c>
      <c r="C38" s="7" t="s">
        <v>1029</v>
      </c>
      <c r="D38" s="7" t="s">
        <v>1125</v>
      </c>
      <c r="E38" s="7" t="s">
        <v>1126</v>
      </c>
      <c r="F38" s="7" t="s">
        <v>584</v>
      </c>
      <c r="G38" s="7" t="s">
        <v>1127</v>
      </c>
      <c r="H38" s="7" t="s">
        <v>1128</v>
      </c>
      <c r="I38" s="8" t="n">
        <v>0.3</v>
      </c>
      <c r="J38" s="7" t="s">
        <v>367</v>
      </c>
      <c r="K38" s="7" t="s">
        <v>2463</v>
      </c>
      <c r="L38" s="7" t="s">
        <v>2464</v>
      </c>
      <c r="M38" s="7" t="s">
        <v>2433</v>
      </c>
      <c r="N38" s="7" t="s">
        <v>2434</v>
      </c>
      <c r="O38" s="7" t="s">
        <v>2465</v>
      </c>
      <c r="P38" s="7" t="s">
        <v>2466</v>
      </c>
      <c r="Q38" s="7" t="s">
        <v>2488</v>
      </c>
      <c r="R38" s="7" t="s">
        <v>2502</v>
      </c>
      <c r="S38" s="7" t="s">
        <v>557</v>
      </c>
      <c r="T38" s="7" t="s">
        <v>556</v>
      </c>
      <c r="U38" s="7" t="s">
        <v>2438</v>
      </c>
      <c r="V38" s="7" t="s">
        <v>2439</v>
      </c>
      <c r="W38" s="7" t="s">
        <v>2440</v>
      </c>
      <c r="X38" s="7" t="s">
        <v>2441</v>
      </c>
      <c r="Y38" s="7" t="s">
        <v>2484</v>
      </c>
      <c r="Z38" s="7" t="s">
        <v>2442</v>
      </c>
    </row>
    <row r="39" customFormat="false" ht="158.2" hidden="false" customHeight="false" outlineLevel="0" collapsed="false">
      <c r="A39" s="7" t="s">
        <v>1134</v>
      </c>
      <c r="B39" s="7" t="s">
        <v>97</v>
      </c>
      <c r="C39" s="7" t="s">
        <v>1029</v>
      </c>
      <c r="D39" s="7" t="s">
        <v>762</v>
      </c>
      <c r="E39" s="7" t="s">
        <v>989</v>
      </c>
      <c r="F39" s="7" t="s">
        <v>584</v>
      </c>
      <c r="G39" s="7" t="s">
        <v>1132</v>
      </c>
      <c r="H39" s="7" t="s">
        <v>1133</v>
      </c>
      <c r="I39" s="8" t="n">
        <v>0.3</v>
      </c>
      <c r="J39" s="7" t="s">
        <v>250</v>
      </c>
      <c r="K39" s="7" t="s">
        <v>2452</v>
      </c>
      <c r="L39" s="7" t="s">
        <v>2453</v>
      </c>
      <c r="M39" s="7" t="s">
        <v>2433</v>
      </c>
      <c r="N39" s="7" t="s">
        <v>2434</v>
      </c>
      <c r="O39" s="7" t="s">
        <v>2454</v>
      </c>
      <c r="P39" s="7" t="s">
        <v>2455</v>
      </c>
      <c r="Q39" s="7" t="s">
        <v>2488</v>
      </c>
      <c r="R39" s="7"/>
      <c r="S39" s="7" t="s">
        <v>569</v>
      </c>
      <c r="T39" s="7" t="s">
        <v>568</v>
      </c>
      <c r="U39" s="7" t="s">
        <v>2438</v>
      </c>
      <c r="V39" s="7" t="s">
        <v>2439</v>
      </c>
      <c r="W39" s="7" t="s">
        <v>2440</v>
      </c>
      <c r="X39" s="7" t="s">
        <v>2441</v>
      </c>
      <c r="Y39" s="7" t="s">
        <v>2484</v>
      </c>
      <c r="Z39" s="7" t="s">
        <v>2442</v>
      </c>
    </row>
    <row r="40" customFormat="false" ht="158.2" hidden="false" customHeight="false" outlineLevel="0" collapsed="false">
      <c r="A40" s="7" t="s">
        <v>1138</v>
      </c>
      <c r="B40" s="7" t="s">
        <v>97</v>
      </c>
      <c r="C40" s="7" t="s">
        <v>1029</v>
      </c>
      <c r="D40" s="7" t="s">
        <v>770</v>
      </c>
      <c r="E40" s="7" t="s">
        <v>991</v>
      </c>
      <c r="F40" s="7" t="s">
        <v>584</v>
      </c>
      <c r="G40" s="7" t="s">
        <v>1136</v>
      </c>
      <c r="H40" s="7" t="s">
        <v>1137</v>
      </c>
      <c r="I40" s="8" t="n">
        <v>0.2</v>
      </c>
      <c r="J40" s="7" t="s">
        <v>347</v>
      </c>
      <c r="K40" s="7" t="s">
        <v>2458</v>
      </c>
      <c r="L40" s="7" t="s">
        <v>2459</v>
      </c>
      <c r="M40" s="7" t="s">
        <v>2433</v>
      </c>
      <c r="N40" s="7" t="s">
        <v>2434</v>
      </c>
      <c r="O40" s="7" t="s">
        <v>2460</v>
      </c>
      <c r="P40" s="7" t="s">
        <v>2461</v>
      </c>
      <c r="Q40" s="7" t="s">
        <v>2488</v>
      </c>
      <c r="R40" s="7"/>
      <c r="S40" s="7" t="s">
        <v>569</v>
      </c>
      <c r="T40" s="7" t="s">
        <v>568</v>
      </c>
      <c r="U40" s="7" t="s">
        <v>2438</v>
      </c>
      <c r="V40" s="7" t="s">
        <v>2439</v>
      </c>
      <c r="W40" s="7" t="s">
        <v>2440</v>
      </c>
      <c r="X40" s="7" t="s">
        <v>2441</v>
      </c>
      <c r="Y40" s="7" t="s">
        <v>2484</v>
      </c>
      <c r="Z40" s="7" t="s">
        <v>2442</v>
      </c>
    </row>
    <row r="41" customFormat="false" ht="158.2" hidden="false" customHeight="false" outlineLevel="0" collapsed="false">
      <c r="A41" s="7" t="s">
        <v>1141</v>
      </c>
      <c r="B41" s="7" t="s">
        <v>97</v>
      </c>
      <c r="C41" s="7" t="s">
        <v>1029</v>
      </c>
      <c r="D41" s="7" t="s">
        <v>774</v>
      </c>
      <c r="E41" s="7" t="s">
        <v>992</v>
      </c>
      <c r="F41" s="7" t="s">
        <v>584</v>
      </c>
      <c r="G41" s="7" t="s">
        <v>1139</v>
      </c>
      <c r="H41" s="7" t="s">
        <v>1140</v>
      </c>
      <c r="I41" s="8" t="n">
        <v>0.3</v>
      </c>
      <c r="J41" s="7" t="s">
        <v>250</v>
      </c>
      <c r="K41" s="7" t="s">
        <v>2452</v>
      </c>
      <c r="L41" s="7" t="s">
        <v>2453</v>
      </c>
      <c r="M41" s="7" t="s">
        <v>2433</v>
      </c>
      <c r="N41" s="7" t="s">
        <v>2434</v>
      </c>
      <c r="O41" s="7" t="s">
        <v>2454</v>
      </c>
      <c r="P41" s="7" t="s">
        <v>2455</v>
      </c>
      <c r="Q41" s="7" t="s">
        <v>2488</v>
      </c>
      <c r="R41" s="7"/>
      <c r="S41" s="7" t="s">
        <v>569</v>
      </c>
      <c r="T41" s="7" t="s">
        <v>568</v>
      </c>
      <c r="U41" s="7" t="s">
        <v>2438</v>
      </c>
      <c r="V41" s="7" t="s">
        <v>2439</v>
      </c>
      <c r="W41" s="7" t="s">
        <v>2440</v>
      </c>
      <c r="X41" s="7" t="s">
        <v>2441</v>
      </c>
      <c r="Y41" s="7" t="s">
        <v>2484</v>
      </c>
      <c r="Z41" s="7" t="s">
        <v>2442</v>
      </c>
    </row>
    <row r="42" customFormat="false" ht="158.2" hidden="false" customHeight="false" outlineLevel="0" collapsed="false">
      <c r="A42" s="7" t="s">
        <v>1145</v>
      </c>
      <c r="B42" s="7" t="s">
        <v>97</v>
      </c>
      <c r="C42" s="7" t="s">
        <v>1029</v>
      </c>
      <c r="D42" s="7" t="s">
        <v>791</v>
      </c>
      <c r="E42" s="7" t="s">
        <v>994</v>
      </c>
      <c r="F42" s="7" t="s">
        <v>584</v>
      </c>
      <c r="G42" s="7" t="s">
        <v>1143</v>
      </c>
      <c r="H42" s="7" t="s">
        <v>1144</v>
      </c>
      <c r="I42" s="8" t="n">
        <v>3.4</v>
      </c>
      <c r="J42" s="7" t="s">
        <v>367</v>
      </c>
      <c r="K42" s="7" t="s">
        <v>2463</v>
      </c>
      <c r="L42" s="7" t="s">
        <v>2464</v>
      </c>
      <c r="M42" s="7" t="s">
        <v>2433</v>
      </c>
      <c r="N42" s="7" t="s">
        <v>2434</v>
      </c>
      <c r="O42" s="7" t="s">
        <v>2465</v>
      </c>
      <c r="P42" s="7" t="s">
        <v>2466</v>
      </c>
      <c r="Q42" s="7" t="s">
        <v>2488</v>
      </c>
      <c r="R42" s="7"/>
      <c r="S42" s="7" t="s">
        <v>557</v>
      </c>
      <c r="T42" s="7" t="s">
        <v>556</v>
      </c>
      <c r="U42" s="7" t="s">
        <v>2438</v>
      </c>
      <c r="V42" s="7" t="s">
        <v>2439</v>
      </c>
      <c r="W42" s="7" t="s">
        <v>2440</v>
      </c>
      <c r="X42" s="7" t="s">
        <v>2441</v>
      </c>
      <c r="Y42" s="7" t="s">
        <v>2484</v>
      </c>
      <c r="Z42" s="7" t="s">
        <v>2442</v>
      </c>
    </row>
    <row r="43" customFormat="false" ht="158.2" hidden="false" customHeight="false" outlineLevel="0" collapsed="false">
      <c r="A43" s="7" t="s">
        <v>1149</v>
      </c>
      <c r="B43" s="7" t="s">
        <v>97</v>
      </c>
      <c r="C43" s="7" t="s">
        <v>1029</v>
      </c>
      <c r="D43" s="7" t="s">
        <v>781</v>
      </c>
      <c r="E43" s="7" t="s">
        <v>993</v>
      </c>
      <c r="F43" s="7" t="s">
        <v>584</v>
      </c>
      <c r="G43" s="7" t="s">
        <v>1147</v>
      </c>
      <c r="H43" s="7" t="s">
        <v>1148</v>
      </c>
      <c r="I43" s="8" t="n">
        <v>0.3</v>
      </c>
      <c r="J43" s="7" t="s">
        <v>250</v>
      </c>
      <c r="K43" s="7" t="s">
        <v>2452</v>
      </c>
      <c r="L43" s="7" t="s">
        <v>2453</v>
      </c>
      <c r="M43" s="7" t="s">
        <v>2433</v>
      </c>
      <c r="N43" s="7" t="s">
        <v>2434</v>
      </c>
      <c r="O43" s="7" t="s">
        <v>2454</v>
      </c>
      <c r="P43" s="7" t="s">
        <v>2455</v>
      </c>
      <c r="Q43" s="7" t="s">
        <v>2488</v>
      </c>
      <c r="R43" s="7"/>
      <c r="S43" s="7" t="s">
        <v>569</v>
      </c>
      <c r="T43" s="7" t="s">
        <v>568</v>
      </c>
      <c r="U43" s="7" t="s">
        <v>2438</v>
      </c>
      <c r="V43" s="7" t="s">
        <v>2439</v>
      </c>
      <c r="W43" s="7" t="s">
        <v>2440</v>
      </c>
      <c r="X43" s="7" t="s">
        <v>2441</v>
      </c>
      <c r="Y43" s="7" t="s">
        <v>2484</v>
      </c>
      <c r="Z43" s="7" t="s">
        <v>2442</v>
      </c>
    </row>
    <row r="44" customFormat="false" ht="158.2" hidden="false" customHeight="false" outlineLevel="0" collapsed="false">
      <c r="A44" s="7" t="s">
        <v>1153</v>
      </c>
      <c r="B44" s="7" t="s">
        <v>97</v>
      </c>
      <c r="C44" s="7" t="s">
        <v>1029</v>
      </c>
      <c r="D44" s="7" t="s">
        <v>799</v>
      </c>
      <c r="E44" s="7" t="s">
        <v>995</v>
      </c>
      <c r="F44" s="7" t="s">
        <v>594</v>
      </c>
      <c r="G44" s="7" t="s">
        <v>1151</v>
      </c>
      <c r="H44" s="7" t="s">
        <v>1152</v>
      </c>
      <c r="I44" s="8" t="n">
        <v>0.3</v>
      </c>
      <c r="J44" s="7" t="s">
        <v>598</v>
      </c>
      <c r="K44" s="7" t="s">
        <v>2489</v>
      </c>
      <c r="L44" s="7" t="s">
        <v>2490</v>
      </c>
      <c r="M44" s="7" t="s">
        <v>2433</v>
      </c>
      <c r="N44" s="7" t="s">
        <v>2434</v>
      </c>
      <c r="O44" s="7" t="s">
        <v>2491</v>
      </c>
      <c r="P44" s="7" t="s">
        <v>2492</v>
      </c>
      <c r="Q44" s="7" t="s">
        <v>2493</v>
      </c>
      <c r="R44" s="7"/>
      <c r="S44" s="7" t="s">
        <v>569</v>
      </c>
      <c r="T44" s="7" t="s">
        <v>568</v>
      </c>
      <c r="U44" s="7" t="s">
        <v>2438</v>
      </c>
      <c r="V44" s="7" t="s">
        <v>2439</v>
      </c>
      <c r="W44" s="7" t="s">
        <v>2440</v>
      </c>
      <c r="X44" s="7" t="s">
        <v>2441</v>
      </c>
      <c r="Y44" s="7" t="s">
        <v>2484</v>
      </c>
      <c r="Z44" s="7" t="s">
        <v>2442</v>
      </c>
    </row>
    <row r="45" customFormat="false" ht="158.2" hidden="false" customHeight="false" outlineLevel="0" collapsed="false">
      <c r="A45" s="7" t="s">
        <v>1159</v>
      </c>
      <c r="B45" s="7" t="s">
        <v>97</v>
      </c>
      <c r="C45" s="7" t="s">
        <v>1029</v>
      </c>
      <c r="D45" s="7" t="s">
        <v>1155</v>
      </c>
      <c r="E45" s="7" t="s">
        <v>1156</v>
      </c>
      <c r="F45" s="7" t="s">
        <v>594</v>
      </c>
      <c r="G45" s="7" t="s">
        <v>1157</v>
      </c>
      <c r="H45" s="7" t="s">
        <v>1158</v>
      </c>
      <c r="I45" s="8" t="n">
        <v>0.3</v>
      </c>
      <c r="J45" s="7" t="s">
        <v>598</v>
      </c>
      <c r="K45" s="7" t="s">
        <v>2489</v>
      </c>
      <c r="L45" s="7" t="s">
        <v>2490</v>
      </c>
      <c r="M45" s="7" t="s">
        <v>2433</v>
      </c>
      <c r="N45" s="7" t="s">
        <v>2434</v>
      </c>
      <c r="O45" s="7" t="s">
        <v>2491</v>
      </c>
      <c r="P45" s="7" t="s">
        <v>2492</v>
      </c>
      <c r="Q45" s="7" t="s">
        <v>2493</v>
      </c>
      <c r="R45" s="7"/>
      <c r="S45" s="7" t="s">
        <v>557</v>
      </c>
      <c r="T45" s="7" t="s">
        <v>556</v>
      </c>
      <c r="U45" s="7" t="s">
        <v>2438</v>
      </c>
      <c r="V45" s="7" t="s">
        <v>2439</v>
      </c>
      <c r="W45" s="7" t="s">
        <v>2440</v>
      </c>
      <c r="X45" s="7" t="s">
        <v>2441</v>
      </c>
      <c r="Y45" s="7" t="s">
        <v>2484</v>
      </c>
      <c r="Z45" s="7" t="s">
        <v>2442</v>
      </c>
    </row>
    <row r="46" customFormat="false" ht="158.2" hidden="false" customHeight="false" outlineLevel="0" collapsed="false">
      <c r="A46" s="7" t="s">
        <v>1164</v>
      </c>
      <c r="B46" s="7" t="s">
        <v>97</v>
      </c>
      <c r="C46" s="7" t="s">
        <v>1029</v>
      </c>
      <c r="D46" s="7" t="s">
        <v>803</v>
      </c>
      <c r="E46" s="7" t="s">
        <v>996</v>
      </c>
      <c r="F46" s="7" t="s">
        <v>594</v>
      </c>
      <c r="G46" s="7" t="s">
        <v>1162</v>
      </c>
      <c r="H46" s="7" t="s">
        <v>1163</v>
      </c>
      <c r="I46" s="8" t="n">
        <v>0.6</v>
      </c>
      <c r="J46" s="7" t="s">
        <v>598</v>
      </c>
      <c r="K46" s="7" t="s">
        <v>2489</v>
      </c>
      <c r="L46" s="7" t="s">
        <v>2490</v>
      </c>
      <c r="M46" s="7" t="s">
        <v>2433</v>
      </c>
      <c r="N46" s="7" t="s">
        <v>2434</v>
      </c>
      <c r="O46" s="7" t="s">
        <v>2491</v>
      </c>
      <c r="P46" s="7" t="s">
        <v>2492</v>
      </c>
      <c r="Q46" s="7" t="s">
        <v>2493</v>
      </c>
      <c r="R46" s="7"/>
      <c r="S46" s="7" t="s">
        <v>557</v>
      </c>
      <c r="T46" s="7" t="s">
        <v>556</v>
      </c>
      <c r="U46" s="7" t="s">
        <v>2438</v>
      </c>
      <c r="V46" s="7" t="s">
        <v>2439</v>
      </c>
      <c r="W46" s="7" t="s">
        <v>2440</v>
      </c>
      <c r="X46" s="7" t="s">
        <v>2441</v>
      </c>
      <c r="Y46" s="7" t="s">
        <v>2484</v>
      </c>
      <c r="Z46" s="7" t="s">
        <v>2442</v>
      </c>
    </row>
    <row r="47" customFormat="false" ht="158.2" hidden="false" customHeight="false" outlineLevel="0" collapsed="false">
      <c r="A47" s="7" t="s">
        <v>1169</v>
      </c>
      <c r="B47" s="7" t="s">
        <v>97</v>
      </c>
      <c r="C47" s="7" t="s">
        <v>1029</v>
      </c>
      <c r="D47" s="7" t="s">
        <v>1165</v>
      </c>
      <c r="E47" s="7" t="s">
        <v>1166</v>
      </c>
      <c r="F47" s="7" t="s">
        <v>594</v>
      </c>
      <c r="G47" s="7" t="s">
        <v>1167</v>
      </c>
      <c r="H47" s="7" t="s">
        <v>1168</v>
      </c>
      <c r="I47" s="8" t="n">
        <v>0.3</v>
      </c>
      <c r="J47" s="7" t="s">
        <v>523</v>
      </c>
      <c r="K47" s="7" t="s">
        <v>2468</v>
      </c>
      <c r="L47" s="7" t="s">
        <v>2469</v>
      </c>
      <c r="M47" s="7" t="s">
        <v>2433</v>
      </c>
      <c r="N47" s="7" t="s">
        <v>2434</v>
      </c>
      <c r="O47" s="7" t="s">
        <v>2470</v>
      </c>
      <c r="P47" s="7" t="s">
        <v>2471</v>
      </c>
      <c r="Q47" s="7" t="s">
        <v>2493</v>
      </c>
      <c r="R47" s="7"/>
      <c r="S47" s="7" t="s">
        <v>557</v>
      </c>
      <c r="T47" s="7" t="s">
        <v>556</v>
      </c>
      <c r="U47" s="7" t="s">
        <v>2438</v>
      </c>
      <c r="V47" s="7" t="s">
        <v>2439</v>
      </c>
      <c r="W47" s="7" t="s">
        <v>2440</v>
      </c>
      <c r="X47" s="7" t="s">
        <v>2441</v>
      </c>
      <c r="Y47" s="7" t="s">
        <v>2484</v>
      </c>
      <c r="Z47" s="7" t="s">
        <v>2442</v>
      </c>
    </row>
    <row r="48" customFormat="false" ht="158.2" hidden="false" customHeight="false" outlineLevel="0" collapsed="false">
      <c r="A48" s="7" t="s">
        <v>1175</v>
      </c>
      <c r="B48" s="7" t="s">
        <v>97</v>
      </c>
      <c r="C48" s="7" t="s">
        <v>1029</v>
      </c>
      <c r="D48" s="7" t="s">
        <v>1171</v>
      </c>
      <c r="E48" s="7" t="s">
        <v>1172</v>
      </c>
      <c r="F48" s="7" t="s">
        <v>594</v>
      </c>
      <c r="G48" s="7" t="s">
        <v>1173</v>
      </c>
      <c r="H48" s="7" t="s">
        <v>1174</v>
      </c>
      <c r="I48" s="8" t="n">
        <v>0.3</v>
      </c>
      <c r="J48" s="7" t="s">
        <v>523</v>
      </c>
      <c r="K48" s="7" t="s">
        <v>2468</v>
      </c>
      <c r="L48" s="7" t="s">
        <v>2469</v>
      </c>
      <c r="M48" s="7" t="s">
        <v>2433</v>
      </c>
      <c r="N48" s="7" t="s">
        <v>2434</v>
      </c>
      <c r="O48" s="7" t="s">
        <v>2470</v>
      </c>
      <c r="P48" s="7" t="s">
        <v>2471</v>
      </c>
      <c r="Q48" s="7" t="s">
        <v>2493</v>
      </c>
      <c r="R48" s="7"/>
      <c r="S48" s="7" t="s">
        <v>557</v>
      </c>
      <c r="T48" s="7" t="s">
        <v>556</v>
      </c>
      <c r="U48" s="7" t="s">
        <v>2438</v>
      </c>
      <c r="V48" s="7" t="s">
        <v>2439</v>
      </c>
      <c r="W48" s="7" t="s">
        <v>2440</v>
      </c>
      <c r="X48" s="7" t="s">
        <v>2441</v>
      </c>
      <c r="Y48" s="7" t="s">
        <v>2484</v>
      </c>
      <c r="Z48" s="7" t="s">
        <v>2442</v>
      </c>
    </row>
    <row r="49" customFormat="false" ht="158.2" hidden="false" customHeight="false" outlineLevel="0" collapsed="false">
      <c r="A49" s="7" t="s">
        <v>1179</v>
      </c>
      <c r="B49" s="7" t="s">
        <v>97</v>
      </c>
      <c r="C49" s="7" t="s">
        <v>1029</v>
      </c>
      <c r="D49" s="7" t="s">
        <v>814</v>
      </c>
      <c r="E49" s="7" t="s">
        <v>998</v>
      </c>
      <c r="F49" s="7" t="s">
        <v>594</v>
      </c>
      <c r="G49" s="7" t="s">
        <v>1177</v>
      </c>
      <c r="H49" s="7" t="s">
        <v>1178</v>
      </c>
      <c r="I49" s="8" t="n">
        <v>0.1</v>
      </c>
      <c r="J49" s="7" t="s">
        <v>523</v>
      </c>
      <c r="K49" s="7" t="s">
        <v>2468</v>
      </c>
      <c r="L49" s="7" t="s">
        <v>2469</v>
      </c>
      <c r="M49" s="7" t="s">
        <v>2433</v>
      </c>
      <c r="N49" s="7" t="s">
        <v>2434</v>
      </c>
      <c r="O49" s="7" t="s">
        <v>2470</v>
      </c>
      <c r="P49" s="7" t="s">
        <v>2471</v>
      </c>
      <c r="Q49" s="7" t="s">
        <v>2493</v>
      </c>
      <c r="R49" s="7"/>
      <c r="S49" s="7" t="s">
        <v>557</v>
      </c>
      <c r="T49" s="7" t="s">
        <v>556</v>
      </c>
      <c r="U49" s="7" t="s">
        <v>2438</v>
      </c>
      <c r="V49" s="7" t="s">
        <v>2439</v>
      </c>
      <c r="W49" s="7" t="s">
        <v>2440</v>
      </c>
      <c r="X49" s="7" t="s">
        <v>2441</v>
      </c>
      <c r="Y49" s="7" t="s">
        <v>2484</v>
      </c>
      <c r="Z49" s="7" t="s">
        <v>2442</v>
      </c>
    </row>
    <row r="50" customFormat="false" ht="158.2" hidden="false" customHeight="false" outlineLevel="0" collapsed="false">
      <c r="A50" s="7" t="s">
        <v>1182</v>
      </c>
      <c r="B50" s="7" t="s">
        <v>97</v>
      </c>
      <c r="C50" s="7" t="s">
        <v>1029</v>
      </c>
      <c r="D50" s="7" t="s">
        <v>818</v>
      </c>
      <c r="E50" s="7" t="s">
        <v>999</v>
      </c>
      <c r="F50" s="7" t="s">
        <v>594</v>
      </c>
      <c r="G50" s="7" t="s">
        <v>1180</v>
      </c>
      <c r="H50" s="7" t="s">
        <v>1181</v>
      </c>
      <c r="I50" s="8" t="n">
        <v>0.1</v>
      </c>
      <c r="J50" s="7" t="s">
        <v>523</v>
      </c>
      <c r="K50" s="7" t="s">
        <v>2468</v>
      </c>
      <c r="L50" s="7" t="s">
        <v>2469</v>
      </c>
      <c r="M50" s="7" t="s">
        <v>2433</v>
      </c>
      <c r="N50" s="7" t="s">
        <v>2434</v>
      </c>
      <c r="O50" s="7" t="s">
        <v>2470</v>
      </c>
      <c r="P50" s="7" t="s">
        <v>2471</v>
      </c>
      <c r="Q50" s="7" t="s">
        <v>2493</v>
      </c>
      <c r="R50" s="7"/>
      <c r="S50" s="7" t="s">
        <v>557</v>
      </c>
      <c r="T50" s="7" t="s">
        <v>556</v>
      </c>
      <c r="U50" s="7" t="s">
        <v>2438</v>
      </c>
      <c r="V50" s="7" t="s">
        <v>2439</v>
      </c>
      <c r="W50" s="7" t="s">
        <v>2440</v>
      </c>
      <c r="X50" s="7" t="s">
        <v>2441</v>
      </c>
      <c r="Y50" s="7" t="s">
        <v>2484</v>
      </c>
      <c r="Z50" s="7" t="s">
        <v>2442</v>
      </c>
    </row>
    <row r="51" customFormat="false" ht="158.2" hidden="false" customHeight="false" outlineLevel="0" collapsed="false">
      <c r="A51" s="7" t="s">
        <v>1187</v>
      </c>
      <c r="B51" s="7" t="s">
        <v>97</v>
      </c>
      <c r="C51" s="7" t="s">
        <v>1029</v>
      </c>
      <c r="D51" s="7" t="s">
        <v>1183</v>
      </c>
      <c r="E51" s="7" t="s">
        <v>617</v>
      </c>
      <c r="F51" s="7" t="s">
        <v>1184</v>
      </c>
      <c r="G51" s="7" t="s">
        <v>1185</v>
      </c>
      <c r="H51" s="7" t="s">
        <v>1186</v>
      </c>
      <c r="I51" s="8" t="n">
        <v>0.3</v>
      </c>
      <c r="J51" s="7" t="s">
        <v>523</v>
      </c>
      <c r="K51" s="7" t="s">
        <v>2468</v>
      </c>
      <c r="L51" s="7" t="s">
        <v>2469</v>
      </c>
      <c r="M51" s="7" t="s">
        <v>2433</v>
      </c>
      <c r="N51" s="7" t="s">
        <v>2434</v>
      </c>
      <c r="O51" s="7" t="s">
        <v>2470</v>
      </c>
      <c r="P51" s="7" t="s">
        <v>2471</v>
      </c>
      <c r="Q51" s="7" t="s">
        <v>2503</v>
      </c>
      <c r="R51" s="7"/>
      <c r="S51" s="7" t="s">
        <v>569</v>
      </c>
      <c r="T51" s="7" t="s">
        <v>568</v>
      </c>
      <c r="U51" s="7" t="s">
        <v>2438</v>
      </c>
      <c r="V51" s="7" t="s">
        <v>2439</v>
      </c>
      <c r="W51" s="7" t="s">
        <v>2440</v>
      </c>
      <c r="X51" s="7" t="s">
        <v>2441</v>
      </c>
      <c r="Y51" s="7" t="s">
        <v>2484</v>
      </c>
      <c r="Z51" s="7" t="s">
        <v>2442</v>
      </c>
    </row>
    <row r="52" customFormat="false" ht="158.2" hidden="false" customHeight="false" outlineLevel="0" collapsed="false">
      <c r="A52" s="7" t="s">
        <v>1193</v>
      </c>
      <c r="B52" s="7" t="s">
        <v>97</v>
      </c>
      <c r="C52" s="7" t="s">
        <v>1029</v>
      </c>
      <c r="D52" s="7" t="s">
        <v>1190</v>
      </c>
      <c r="E52" s="7" t="s">
        <v>1191</v>
      </c>
      <c r="F52" s="7" t="s">
        <v>1184</v>
      </c>
      <c r="G52" s="7" t="s">
        <v>1192</v>
      </c>
      <c r="H52" s="7" t="s">
        <v>1186</v>
      </c>
      <c r="I52" s="8" t="n">
        <v>0.3</v>
      </c>
      <c r="J52" s="7" t="s">
        <v>523</v>
      </c>
      <c r="K52" s="7" t="s">
        <v>2468</v>
      </c>
      <c r="L52" s="7" t="s">
        <v>2469</v>
      </c>
      <c r="M52" s="7" t="s">
        <v>2433</v>
      </c>
      <c r="N52" s="7" t="s">
        <v>2434</v>
      </c>
      <c r="O52" s="7" t="s">
        <v>2470</v>
      </c>
      <c r="P52" s="7" t="s">
        <v>2471</v>
      </c>
      <c r="Q52" s="7" t="s">
        <v>2503</v>
      </c>
      <c r="R52" s="7"/>
      <c r="S52" s="7" t="s">
        <v>569</v>
      </c>
      <c r="T52" s="7" t="s">
        <v>568</v>
      </c>
      <c r="U52" s="7" t="s">
        <v>2438</v>
      </c>
      <c r="V52" s="7" t="s">
        <v>2439</v>
      </c>
      <c r="W52" s="7" t="s">
        <v>2440</v>
      </c>
      <c r="X52" s="7" t="s">
        <v>2441</v>
      </c>
      <c r="Y52" s="7" t="s">
        <v>2484</v>
      </c>
      <c r="Z52" s="7" t="s">
        <v>2442</v>
      </c>
    </row>
    <row r="53" customFormat="false" ht="158.2" hidden="false" customHeight="false" outlineLevel="0" collapsed="false">
      <c r="A53" s="7" t="s">
        <v>1197</v>
      </c>
      <c r="B53" s="7" t="s">
        <v>97</v>
      </c>
      <c r="C53" s="7" t="s">
        <v>1029</v>
      </c>
      <c r="D53" s="7" t="s">
        <v>1194</v>
      </c>
      <c r="E53" s="7" t="s">
        <v>884</v>
      </c>
      <c r="F53" s="7" t="s">
        <v>1184</v>
      </c>
      <c r="G53" s="7" t="s">
        <v>1195</v>
      </c>
      <c r="H53" s="7" t="s">
        <v>1196</v>
      </c>
      <c r="I53" s="8" t="n">
        <v>0.7</v>
      </c>
      <c r="J53" s="7" t="s">
        <v>250</v>
      </c>
      <c r="K53" s="7" t="s">
        <v>2452</v>
      </c>
      <c r="L53" s="7" t="s">
        <v>2453</v>
      </c>
      <c r="M53" s="7" t="s">
        <v>2433</v>
      </c>
      <c r="N53" s="7" t="s">
        <v>2434</v>
      </c>
      <c r="O53" s="7" t="s">
        <v>2454</v>
      </c>
      <c r="P53" s="7" t="s">
        <v>2455</v>
      </c>
      <c r="Q53" s="7" t="s">
        <v>2503</v>
      </c>
      <c r="R53" s="7"/>
      <c r="S53" s="7" t="s">
        <v>569</v>
      </c>
      <c r="T53" s="7" t="s">
        <v>568</v>
      </c>
      <c r="U53" s="7" t="s">
        <v>2438</v>
      </c>
      <c r="V53" s="7" t="s">
        <v>2439</v>
      </c>
      <c r="W53" s="7" t="s">
        <v>2440</v>
      </c>
      <c r="X53" s="7" t="s">
        <v>2441</v>
      </c>
      <c r="Y53" s="7" t="s">
        <v>2484</v>
      </c>
      <c r="Z53" s="7" t="s">
        <v>2442</v>
      </c>
    </row>
    <row r="54" customFormat="false" ht="158.2" hidden="false" customHeight="false" outlineLevel="0" collapsed="false">
      <c r="A54" s="7" t="s">
        <v>1201</v>
      </c>
      <c r="B54" s="7" t="s">
        <v>97</v>
      </c>
      <c r="C54" s="7" t="s">
        <v>1029</v>
      </c>
      <c r="D54" s="7" t="s">
        <v>827</v>
      </c>
      <c r="E54" s="7" t="s">
        <v>1001</v>
      </c>
      <c r="F54" s="7" t="s">
        <v>1184</v>
      </c>
      <c r="G54" s="7" t="s">
        <v>1199</v>
      </c>
      <c r="H54" s="7" t="s">
        <v>1200</v>
      </c>
      <c r="I54" s="8" t="n">
        <v>0.7</v>
      </c>
      <c r="J54" s="7" t="s">
        <v>627</v>
      </c>
      <c r="K54" s="7" t="s">
        <v>2495</v>
      </c>
      <c r="L54" s="7" t="s">
        <v>2496</v>
      </c>
      <c r="M54" s="7" t="s">
        <v>2433</v>
      </c>
      <c r="N54" s="7" t="s">
        <v>2434</v>
      </c>
      <c r="O54" s="7" t="s">
        <v>2491</v>
      </c>
      <c r="P54" s="7" t="s">
        <v>2497</v>
      </c>
      <c r="Q54" s="7" t="s">
        <v>2503</v>
      </c>
      <c r="R54" s="7"/>
      <c r="S54" s="7" t="s">
        <v>569</v>
      </c>
      <c r="T54" s="7" t="s">
        <v>568</v>
      </c>
      <c r="U54" s="7" t="s">
        <v>2438</v>
      </c>
      <c r="V54" s="7" t="s">
        <v>2439</v>
      </c>
      <c r="W54" s="7" t="s">
        <v>2440</v>
      </c>
      <c r="X54" s="7" t="s">
        <v>2441</v>
      </c>
      <c r="Y54" s="7" t="s">
        <v>2484</v>
      </c>
      <c r="Z54" s="7" t="s">
        <v>2442</v>
      </c>
    </row>
    <row r="55" customFormat="false" ht="158.2" hidden="false" customHeight="false" outlineLevel="0" collapsed="false">
      <c r="A55" s="7" t="s">
        <v>1204</v>
      </c>
      <c r="B55" s="7" t="s">
        <v>97</v>
      </c>
      <c r="C55" s="7" t="s">
        <v>1029</v>
      </c>
      <c r="D55" s="7" t="s">
        <v>831</v>
      </c>
      <c r="E55" s="7" t="s">
        <v>888</v>
      </c>
      <c r="F55" s="7" t="s">
        <v>1184</v>
      </c>
      <c r="G55" s="7" t="s">
        <v>1202</v>
      </c>
      <c r="H55" s="7" t="s">
        <v>1203</v>
      </c>
      <c r="I55" s="8" t="n">
        <v>0.4</v>
      </c>
      <c r="J55" s="7" t="s">
        <v>347</v>
      </c>
      <c r="K55" s="7" t="s">
        <v>2458</v>
      </c>
      <c r="L55" s="7" t="s">
        <v>2459</v>
      </c>
      <c r="M55" s="7" t="s">
        <v>2433</v>
      </c>
      <c r="N55" s="7" t="s">
        <v>2434</v>
      </c>
      <c r="O55" s="7" t="s">
        <v>2460</v>
      </c>
      <c r="P55" s="7" t="s">
        <v>2461</v>
      </c>
      <c r="Q55" s="7" t="s">
        <v>2503</v>
      </c>
      <c r="R55" s="7"/>
      <c r="S55" s="7" t="s">
        <v>569</v>
      </c>
      <c r="T55" s="7" t="s">
        <v>568</v>
      </c>
      <c r="U55" s="7" t="s">
        <v>2438</v>
      </c>
      <c r="V55" s="7" t="s">
        <v>2439</v>
      </c>
      <c r="W55" s="7" t="s">
        <v>2440</v>
      </c>
      <c r="X55" s="7" t="s">
        <v>2441</v>
      </c>
      <c r="Y55" s="7" t="s">
        <v>2484</v>
      </c>
      <c r="Z55" s="7" t="s">
        <v>2442</v>
      </c>
    </row>
    <row r="56" customFormat="false" ht="393.25" hidden="false" customHeight="false" outlineLevel="0" collapsed="false">
      <c r="A56" s="7" t="s">
        <v>1210</v>
      </c>
      <c r="B56" s="7" t="s">
        <v>97</v>
      </c>
      <c r="C56" s="7" t="s">
        <v>1029</v>
      </c>
      <c r="D56" s="7" t="s">
        <v>836</v>
      </c>
      <c r="E56" s="7" t="s">
        <v>1002</v>
      </c>
      <c r="F56" s="7" t="s">
        <v>1207</v>
      </c>
      <c r="G56" s="7" t="s">
        <v>1208</v>
      </c>
      <c r="H56" s="7" t="s">
        <v>1209</v>
      </c>
      <c r="I56" s="8" t="n">
        <v>0.1</v>
      </c>
      <c r="J56" s="7" t="s">
        <v>367</v>
      </c>
      <c r="K56" s="7" t="s">
        <v>2463</v>
      </c>
      <c r="L56" s="7" t="s">
        <v>2464</v>
      </c>
      <c r="M56" s="7" t="s">
        <v>2433</v>
      </c>
      <c r="N56" s="7" t="s">
        <v>2434</v>
      </c>
      <c r="O56" s="7" t="s">
        <v>2465</v>
      </c>
      <c r="P56" s="7" t="s">
        <v>2466</v>
      </c>
      <c r="Q56" s="7" t="s">
        <v>2504</v>
      </c>
      <c r="R56" s="7"/>
      <c r="S56" s="7" t="s">
        <v>569</v>
      </c>
      <c r="T56" s="7" t="s">
        <v>568</v>
      </c>
      <c r="U56" s="7" t="s">
        <v>2438</v>
      </c>
      <c r="V56" s="7" t="s">
        <v>2439</v>
      </c>
      <c r="W56" s="7" t="s">
        <v>2440</v>
      </c>
      <c r="X56" s="7" t="s">
        <v>2441</v>
      </c>
      <c r="Y56" s="7" t="s">
        <v>2484</v>
      </c>
      <c r="Z56" s="7" t="s">
        <v>2442</v>
      </c>
    </row>
    <row r="57" customFormat="false" ht="393.25" hidden="false" customHeight="false" outlineLevel="0" collapsed="false">
      <c r="A57" s="7" t="s">
        <v>1215</v>
      </c>
      <c r="B57" s="7" t="s">
        <v>97</v>
      </c>
      <c r="C57" s="7" t="s">
        <v>1029</v>
      </c>
      <c r="D57" s="7" t="s">
        <v>1212</v>
      </c>
      <c r="E57" s="7" t="s">
        <v>1213</v>
      </c>
      <c r="F57" s="7" t="s">
        <v>1207</v>
      </c>
      <c r="G57" s="7" t="s">
        <v>1214</v>
      </c>
      <c r="H57" s="7" t="s">
        <v>1209</v>
      </c>
      <c r="I57" s="8" t="n">
        <v>0.3</v>
      </c>
      <c r="J57" s="7" t="s">
        <v>367</v>
      </c>
      <c r="K57" s="7" t="s">
        <v>2463</v>
      </c>
      <c r="L57" s="7" t="s">
        <v>2464</v>
      </c>
      <c r="M57" s="7" t="s">
        <v>2433</v>
      </c>
      <c r="N57" s="7" t="s">
        <v>2434</v>
      </c>
      <c r="O57" s="7" t="s">
        <v>2465</v>
      </c>
      <c r="P57" s="7" t="s">
        <v>2466</v>
      </c>
      <c r="Q57" s="7" t="s">
        <v>2504</v>
      </c>
      <c r="R57" s="7"/>
      <c r="S57" s="7" t="s">
        <v>569</v>
      </c>
      <c r="T57" s="7" t="s">
        <v>568</v>
      </c>
      <c r="U57" s="7" t="s">
        <v>2438</v>
      </c>
      <c r="V57" s="7" t="s">
        <v>2439</v>
      </c>
      <c r="W57" s="7" t="s">
        <v>2440</v>
      </c>
      <c r="X57" s="7" t="s">
        <v>2441</v>
      </c>
      <c r="Y57" s="7" t="s">
        <v>2484</v>
      </c>
      <c r="Z57" s="7" t="s">
        <v>2442</v>
      </c>
    </row>
    <row r="58" customFormat="false" ht="393.25" hidden="false" customHeight="false" outlineLevel="0" collapsed="false">
      <c r="A58" s="7" t="s">
        <v>1220</v>
      </c>
      <c r="B58" s="7" t="s">
        <v>97</v>
      </c>
      <c r="C58" s="7" t="s">
        <v>1029</v>
      </c>
      <c r="D58" s="7" t="s">
        <v>1217</v>
      </c>
      <c r="E58" s="7" t="s">
        <v>1218</v>
      </c>
      <c r="F58" s="7" t="s">
        <v>1207</v>
      </c>
      <c r="G58" s="7" t="s">
        <v>1219</v>
      </c>
      <c r="H58" s="7" t="s">
        <v>1209</v>
      </c>
      <c r="I58" s="8" t="n">
        <v>0.3</v>
      </c>
      <c r="J58" s="7" t="s">
        <v>367</v>
      </c>
      <c r="K58" s="7" t="s">
        <v>2463</v>
      </c>
      <c r="L58" s="7" t="s">
        <v>2464</v>
      </c>
      <c r="M58" s="7" t="s">
        <v>2433</v>
      </c>
      <c r="N58" s="7" t="s">
        <v>2434</v>
      </c>
      <c r="O58" s="7" t="s">
        <v>2465</v>
      </c>
      <c r="P58" s="7" t="s">
        <v>2466</v>
      </c>
      <c r="Q58" s="7" t="s">
        <v>2504</v>
      </c>
      <c r="R58" s="7"/>
      <c r="S58" s="7" t="s">
        <v>569</v>
      </c>
      <c r="T58" s="7" t="s">
        <v>568</v>
      </c>
      <c r="U58" s="7" t="s">
        <v>2438</v>
      </c>
      <c r="V58" s="7" t="s">
        <v>2439</v>
      </c>
      <c r="W58" s="7" t="s">
        <v>2440</v>
      </c>
      <c r="X58" s="7" t="s">
        <v>2441</v>
      </c>
      <c r="Y58" s="7" t="s">
        <v>2484</v>
      </c>
      <c r="Z58" s="7" t="s">
        <v>2442</v>
      </c>
    </row>
    <row r="59" customFormat="false" ht="158.2" hidden="false" customHeight="false" outlineLevel="0" collapsed="false">
      <c r="A59" s="7" t="s">
        <v>1223</v>
      </c>
      <c r="B59" s="7" t="s">
        <v>97</v>
      </c>
      <c r="C59" s="7" t="s">
        <v>1029</v>
      </c>
      <c r="D59" s="7" t="s">
        <v>843</v>
      </c>
      <c r="E59" s="7" t="s">
        <v>1003</v>
      </c>
      <c r="F59" s="7" t="s">
        <v>1207</v>
      </c>
      <c r="G59" s="7" t="s">
        <v>1221</v>
      </c>
      <c r="H59" s="7" t="s">
        <v>1222</v>
      </c>
      <c r="I59" s="8" t="n">
        <v>1.4</v>
      </c>
      <c r="J59" s="7" t="s">
        <v>367</v>
      </c>
      <c r="K59" s="7" t="s">
        <v>2463</v>
      </c>
      <c r="L59" s="7" t="s">
        <v>2464</v>
      </c>
      <c r="M59" s="7" t="s">
        <v>2433</v>
      </c>
      <c r="N59" s="7" t="s">
        <v>2434</v>
      </c>
      <c r="O59" s="7" t="s">
        <v>2465</v>
      </c>
      <c r="P59" s="7" t="s">
        <v>2466</v>
      </c>
      <c r="Q59" s="7" t="s">
        <v>2504</v>
      </c>
      <c r="R59" s="7"/>
      <c r="S59" s="7" t="s">
        <v>557</v>
      </c>
      <c r="T59" s="7" t="s">
        <v>556</v>
      </c>
      <c r="U59" s="7" t="s">
        <v>2438</v>
      </c>
      <c r="V59" s="7" t="s">
        <v>2439</v>
      </c>
      <c r="W59" s="7" t="s">
        <v>2440</v>
      </c>
      <c r="X59" s="7" t="s">
        <v>2441</v>
      </c>
      <c r="Y59" s="7" t="s">
        <v>2484</v>
      </c>
      <c r="Z59" s="7" t="s">
        <v>2442</v>
      </c>
    </row>
    <row r="60" customFormat="false" ht="158.2" hidden="false" customHeight="false" outlineLevel="0" collapsed="false">
      <c r="A60" s="7" t="s">
        <v>1227</v>
      </c>
      <c r="B60" s="7" t="s">
        <v>97</v>
      </c>
      <c r="C60" s="7" t="s">
        <v>1029</v>
      </c>
      <c r="D60" s="7" t="s">
        <v>1224</v>
      </c>
      <c r="E60" s="7" t="s">
        <v>904</v>
      </c>
      <c r="F60" s="7" t="s">
        <v>1207</v>
      </c>
      <c r="G60" s="7" t="s">
        <v>1225</v>
      </c>
      <c r="H60" s="7" t="s">
        <v>1226</v>
      </c>
      <c r="I60" s="8" t="n">
        <v>0.1</v>
      </c>
      <c r="J60" s="7" t="s">
        <v>367</v>
      </c>
      <c r="K60" s="7" t="s">
        <v>2463</v>
      </c>
      <c r="L60" s="7" t="s">
        <v>2464</v>
      </c>
      <c r="M60" s="7" t="s">
        <v>2433</v>
      </c>
      <c r="N60" s="7" t="s">
        <v>2434</v>
      </c>
      <c r="O60" s="7" t="s">
        <v>2465</v>
      </c>
      <c r="P60" s="7" t="s">
        <v>2466</v>
      </c>
      <c r="Q60" s="7" t="s">
        <v>2504</v>
      </c>
      <c r="R60" s="7"/>
      <c r="S60" s="7" t="s">
        <v>569</v>
      </c>
      <c r="T60" s="7" t="s">
        <v>568</v>
      </c>
      <c r="U60" s="7" t="s">
        <v>2438</v>
      </c>
      <c r="V60" s="7" t="s">
        <v>2439</v>
      </c>
      <c r="W60" s="7" t="s">
        <v>2440</v>
      </c>
      <c r="X60" s="7" t="s">
        <v>2441</v>
      </c>
      <c r="Y60" s="7" t="s">
        <v>2484</v>
      </c>
      <c r="Z60" s="7" t="s">
        <v>2442</v>
      </c>
    </row>
    <row r="61" customFormat="false" ht="158.2" hidden="false" customHeight="false" outlineLevel="0" collapsed="false">
      <c r="A61" s="7" t="s">
        <v>1234</v>
      </c>
      <c r="B61" s="7" t="s">
        <v>97</v>
      </c>
      <c r="C61" s="7" t="s">
        <v>1029</v>
      </c>
      <c r="D61" s="7" t="s">
        <v>1230</v>
      </c>
      <c r="E61" s="7" t="s">
        <v>1231</v>
      </c>
      <c r="F61" s="7" t="s">
        <v>1207</v>
      </c>
      <c r="G61" s="7" t="s">
        <v>1232</v>
      </c>
      <c r="H61" s="7" t="s">
        <v>1233</v>
      </c>
      <c r="I61" s="8" t="n">
        <v>0.1</v>
      </c>
      <c r="J61" s="7" t="s">
        <v>250</v>
      </c>
      <c r="K61" s="7" t="s">
        <v>2452</v>
      </c>
      <c r="L61" s="7" t="s">
        <v>2453</v>
      </c>
      <c r="M61" s="7" t="s">
        <v>2433</v>
      </c>
      <c r="N61" s="7" t="s">
        <v>2434</v>
      </c>
      <c r="O61" s="7" t="s">
        <v>2454</v>
      </c>
      <c r="P61" s="7" t="s">
        <v>2455</v>
      </c>
      <c r="Q61" s="7" t="s">
        <v>2504</v>
      </c>
      <c r="R61" s="7"/>
      <c r="S61" s="7" t="s">
        <v>557</v>
      </c>
      <c r="T61" s="7" t="s">
        <v>556</v>
      </c>
      <c r="U61" s="7" t="s">
        <v>2438</v>
      </c>
      <c r="V61" s="7" t="s">
        <v>2439</v>
      </c>
      <c r="W61" s="7" t="s">
        <v>2440</v>
      </c>
      <c r="X61" s="7" t="s">
        <v>2441</v>
      </c>
      <c r="Y61" s="7" t="s">
        <v>2484</v>
      </c>
      <c r="Z61" s="7" t="s">
        <v>2442</v>
      </c>
    </row>
    <row r="62" customFormat="false" ht="158.2" hidden="false" customHeight="false" outlineLevel="0" collapsed="false">
      <c r="A62" s="7" t="s">
        <v>1236</v>
      </c>
      <c r="B62" s="7" t="s">
        <v>97</v>
      </c>
      <c r="C62" s="7" t="s">
        <v>1029</v>
      </c>
      <c r="D62" s="7" t="s">
        <v>854</v>
      </c>
      <c r="E62" s="7" t="s">
        <v>913</v>
      </c>
      <c r="F62" s="7" t="s">
        <v>1207</v>
      </c>
      <c r="G62" s="7" t="s">
        <v>1235</v>
      </c>
      <c r="H62" s="7" t="s">
        <v>1233</v>
      </c>
      <c r="I62" s="8" t="n">
        <v>0.3</v>
      </c>
      <c r="J62" s="7" t="s">
        <v>250</v>
      </c>
      <c r="K62" s="7" t="s">
        <v>2452</v>
      </c>
      <c r="L62" s="7" t="s">
        <v>2453</v>
      </c>
      <c r="M62" s="7" t="s">
        <v>2433</v>
      </c>
      <c r="N62" s="7" t="s">
        <v>2434</v>
      </c>
      <c r="O62" s="7" t="s">
        <v>2454</v>
      </c>
      <c r="P62" s="7" t="s">
        <v>2455</v>
      </c>
      <c r="Q62" s="7" t="s">
        <v>2504</v>
      </c>
      <c r="R62" s="7"/>
      <c r="S62" s="7" t="s">
        <v>569</v>
      </c>
      <c r="T62" s="7" t="s">
        <v>568</v>
      </c>
      <c r="U62" s="7" t="s">
        <v>2438</v>
      </c>
      <c r="V62" s="7" t="s">
        <v>2439</v>
      </c>
      <c r="W62" s="7" t="s">
        <v>2440</v>
      </c>
      <c r="X62" s="7" t="s">
        <v>2441</v>
      </c>
      <c r="Y62" s="7" t="s">
        <v>2484</v>
      </c>
      <c r="Z62" s="7" t="s">
        <v>2442</v>
      </c>
    </row>
    <row r="63" customFormat="false" ht="158.2" hidden="false" customHeight="false" outlineLevel="0" collapsed="false">
      <c r="A63" s="7" t="s">
        <v>1242</v>
      </c>
      <c r="B63" s="7" t="s">
        <v>97</v>
      </c>
      <c r="C63" s="7" t="s">
        <v>1029</v>
      </c>
      <c r="D63" s="7" t="s">
        <v>1238</v>
      </c>
      <c r="E63" s="7" t="s">
        <v>1239</v>
      </c>
      <c r="F63" s="7" t="s">
        <v>1207</v>
      </c>
      <c r="G63" s="7" t="s">
        <v>1240</v>
      </c>
      <c r="H63" s="7" t="s">
        <v>1241</v>
      </c>
      <c r="I63" s="8" t="n">
        <v>0.5</v>
      </c>
      <c r="J63" s="7" t="s">
        <v>367</v>
      </c>
      <c r="K63" s="7" t="s">
        <v>2463</v>
      </c>
      <c r="L63" s="7" t="s">
        <v>2464</v>
      </c>
      <c r="M63" s="7" t="s">
        <v>2433</v>
      </c>
      <c r="N63" s="7" t="s">
        <v>2434</v>
      </c>
      <c r="O63" s="7" t="s">
        <v>2465</v>
      </c>
      <c r="P63" s="7" t="s">
        <v>2466</v>
      </c>
      <c r="Q63" s="7" t="s">
        <v>2504</v>
      </c>
      <c r="R63" s="7"/>
      <c r="S63" s="7" t="s">
        <v>569</v>
      </c>
      <c r="T63" s="7" t="s">
        <v>568</v>
      </c>
      <c r="U63" s="7" t="s">
        <v>2438</v>
      </c>
      <c r="V63" s="7" t="s">
        <v>2439</v>
      </c>
      <c r="W63" s="7" t="s">
        <v>2440</v>
      </c>
      <c r="X63" s="7" t="s">
        <v>2441</v>
      </c>
      <c r="Y63" s="7" t="s">
        <v>2484</v>
      </c>
      <c r="Z63" s="7" t="s">
        <v>2442</v>
      </c>
    </row>
    <row r="64" customFormat="false" ht="158.2" hidden="false" customHeight="false" outlineLevel="0" collapsed="false">
      <c r="A64" s="7" t="s">
        <v>1248</v>
      </c>
      <c r="B64" s="7" t="s">
        <v>97</v>
      </c>
      <c r="C64" s="7" t="s">
        <v>1029</v>
      </c>
      <c r="D64" s="7" t="s">
        <v>1245</v>
      </c>
      <c r="E64" s="7" t="s">
        <v>929</v>
      </c>
      <c r="F64" s="7" t="s">
        <v>1207</v>
      </c>
      <c r="G64" s="7" t="s">
        <v>1246</v>
      </c>
      <c r="H64" s="7" t="s">
        <v>1247</v>
      </c>
      <c r="I64" s="8" t="n">
        <v>0.9</v>
      </c>
      <c r="J64" s="7" t="s">
        <v>523</v>
      </c>
      <c r="K64" s="7" t="s">
        <v>2468</v>
      </c>
      <c r="L64" s="7" t="s">
        <v>2469</v>
      </c>
      <c r="M64" s="7" t="s">
        <v>2433</v>
      </c>
      <c r="N64" s="7" t="s">
        <v>2434</v>
      </c>
      <c r="O64" s="7" t="s">
        <v>2470</v>
      </c>
      <c r="P64" s="7" t="s">
        <v>2471</v>
      </c>
      <c r="Q64" s="7" t="s">
        <v>2504</v>
      </c>
      <c r="R64" s="7"/>
      <c r="S64" s="7" t="s">
        <v>1249</v>
      </c>
      <c r="T64" s="7" t="s">
        <v>556</v>
      </c>
      <c r="U64" s="7" t="s">
        <v>2438</v>
      </c>
      <c r="V64" s="7" t="s">
        <v>2439</v>
      </c>
      <c r="W64" s="7" t="s">
        <v>2440</v>
      </c>
      <c r="X64" s="7" t="s">
        <v>2441</v>
      </c>
      <c r="Y64" s="7" t="s">
        <v>2484</v>
      </c>
      <c r="Z64" s="7" t="s">
        <v>2442</v>
      </c>
    </row>
    <row r="65" customFormat="false" ht="236.55" hidden="false" customHeight="false" outlineLevel="0" collapsed="false">
      <c r="A65" s="7" t="s">
        <v>1252</v>
      </c>
      <c r="B65" s="7" t="s">
        <v>97</v>
      </c>
      <c r="C65" s="7" t="s">
        <v>1029</v>
      </c>
      <c r="D65" s="7" t="s">
        <v>866</v>
      </c>
      <c r="E65" s="7" t="s">
        <v>940</v>
      </c>
      <c r="F65" s="7" t="s">
        <v>613</v>
      </c>
      <c r="G65" s="7" t="s">
        <v>1250</v>
      </c>
      <c r="H65" s="7" t="s">
        <v>1251</v>
      </c>
      <c r="I65" s="8" t="n">
        <v>0.2</v>
      </c>
      <c r="J65" s="7" t="s">
        <v>523</v>
      </c>
      <c r="K65" s="7" t="s">
        <v>2468</v>
      </c>
      <c r="L65" s="7" t="s">
        <v>2469</v>
      </c>
      <c r="M65" s="7" t="s">
        <v>2433</v>
      </c>
      <c r="N65" s="7" t="s">
        <v>2434</v>
      </c>
      <c r="O65" s="7" t="s">
        <v>2470</v>
      </c>
      <c r="P65" s="7" t="s">
        <v>2471</v>
      </c>
      <c r="Q65" s="7" t="s">
        <v>2494</v>
      </c>
      <c r="R65" s="7"/>
      <c r="S65" s="7" t="s">
        <v>569</v>
      </c>
      <c r="T65" s="7" t="s">
        <v>568</v>
      </c>
      <c r="U65" s="7" t="s">
        <v>2438</v>
      </c>
      <c r="V65" s="7" t="s">
        <v>2439</v>
      </c>
      <c r="W65" s="7" t="s">
        <v>2440</v>
      </c>
      <c r="X65" s="7" t="s">
        <v>2441</v>
      </c>
      <c r="Y65" s="7" t="s">
        <v>2484</v>
      </c>
      <c r="Z65" s="7" t="s">
        <v>2442</v>
      </c>
    </row>
    <row r="66" customFormat="false" ht="169.4" hidden="false" customHeight="false" outlineLevel="0" collapsed="false">
      <c r="A66" s="7" t="s">
        <v>1255</v>
      </c>
      <c r="B66" s="7" t="s">
        <v>97</v>
      </c>
      <c r="C66" s="7" t="s">
        <v>1029</v>
      </c>
      <c r="D66" s="7" t="s">
        <v>870</v>
      </c>
      <c r="E66" s="7" t="s">
        <v>944</v>
      </c>
      <c r="F66" s="7" t="s">
        <v>613</v>
      </c>
      <c r="G66" s="7" t="s">
        <v>1253</v>
      </c>
      <c r="H66" s="7" t="s">
        <v>1254</v>
      </c>
      <c r="I66" s="8" t="n">
        <v>0.2</v>
      </c>
      <c r="J66" s="7" t="s">
        <v>523</v>
      </c>
      <c r="K66" s="7" t="s">
        <v>2468</v>
      </c>
      <c r="L66" s="7" t="s">
        <v>2469</v>
      </c>
      <c r="M66" s="7" t="s">
        <v>2433</v>
      </c>
      <c r="N66" s="7" t="s">
        <v>2434</v>
      </c>
      <c r="O66" s="7" t="s">
        <v>2470</v>
      </c>
      <c r="P66" s="7" t="s">
        <v>2471</v>
      </c>
      <c r="Q66" s="7" t="s">
        <v>2494</v>
      </c>
      <c r="R66" s="7"/>
      <c r="S66" s="7" t="s">
        <v>569</v>
      </c>
      <c r="T66" s="7" t="s">
        <v>568</v>
      </c>
      <c r="U66" s="7" t="s">
        <v>2438</v>
      </c>
      <c r="V66" s="7" t="s">
        <v>2439</v>
      </c>
      <c r="W66" s="7" t="s">
        <v>2440</v>
      </c>
      <c r="X66" s="7" t="s">
        <v>2441</v>
      </c>
      <c r="Y66" s="7" t="s">
        <v>2484</v>
      </c>
      <c r="Z66" s="7" t="s">
        <v>2442</v>
      </c>
    </row>
    <row r="67" customFormat="false" ht="169.4" hidden="false" customHeight="false" outlineLevel="0" collapsed="false">
      <c r="A67" s="7" t="s">
        <v>1257</v>
      </c>
      <c r="B67" s="7" t="s">
        <v>97</v>
      </c>
      <c r="C67" s="7" t="s">
        <v>1029</v>
      </c>
      <c r="D67" s="7" t="s">
        <v>878</v>
      </c>
      <c r="E67" s="7" t="s">
        <v>960</v>
      </c>
      <c r="F67" s="7" t="s">
        <v>613</v>
      </c>
      <c r="G67" s="7" t="s">
        <v>1256</v>
      </c>
      <c r="H67" s="7" t="s">
        <v>1254</v>
      </c>
      <c r="I67" s="8" t="n">
        <v>0.4</v>
      </c>
      <c r="J67" s="7" t="s">
        <v>523</v>
      </c>
      <c r="K67" s="7" t="s">
        <v>2468</v>
      </c>
      <c r="L67" s="7" t="s">
        <v>2469</v>
      </c>
      <c r="M67" s="7" t="s">
        <v>2433</v>
      </c>
      <c r="N67" s="7" t="s">
        <v>2434</v>
      </c>
      <c r="O67" s="7" t="s">
        <v>2470</v>
      </c>
      <c r="P67" s="7" t="s">
        <v>2471</v>
      </c>
      <c r="Q67" s="7" t="s">
        <v>2494</v>
      </c>
      <c r="R67" s="7"/>
      <c r="S67" s="7" t="s">
        <v>569</v>
      </c>
      <c r="T67" s="7" t="s">
        <v>568</v>
      </c>
      <c r="U67" s="7" t="s">
        <v>2438</v>
      </c>
      <c r="V67" s="7" t="s">
        <v>2439</v>
      </c>
      <c r="W67" s="7" t="s">
        <v>2440</v>
      </c>
      <c r="X67" s="7" t="s">
        <v>2441</v>
      </c>
      <c r="Y67" s="7" t="s">
        <v>2484</v>
      </c>
      <c r="Z67" s="7" t="s">
        <v>2442</v>
      </c>
    </row>
    <row r="68" customFormat="false" ht="169.4" hidden="false" customHeight="false" outlineLevel="0" collapsed="false">
      <c r="A68" s="7" t="s">
        <v>1260</v>
      </c>
      <c r="B68" s="7" t="s">
        <v>97</v>
      </c>
      <c r="C68" s="7" t="s">
        <v>1029</v>
      </c>
      <c r="D68" s="7" t="s">
        <v>882</v>
      </c>
      <c r="E68" s="7" t="s">
        <v>963</v>
      </c>
      <c r="F68" s="7" t="s">
        <v>613</v>
      </c>
      <c r="G68" s="7" t="s">
        <v>1259</v>
      </c>
      <c r="H68" s="7" t="s">
        <v>1254</v>
      </c>
      <c r="I68" s="8" t="n">
        <v>0.4</v>
      </c>
      <c r="J68" s="7" t="s">
        <v>523</v>
      </c>
      <c r="K68" s="7" t="s">
        <v>2468</v>
      </c>
      <c r="L68" s="7" t="s">
        <v>2469</v>
      </c>
      <c r="M68" s="7" t="s">
        <v>2433</v>
      </c>
      <c r="N68" s="7" t="s">
        <v>2434</v>
      </c>
      <c r="O68" s="7" t="s">
        <v>2470</v>
      </c>
      <c r="P68" s="7" t="s">
        <v>2471</v>
      </c>
      <c r="Q68" s="7" t="s">
        <v>2494</v>
      </c>
      <c r="R68" s="7"/>
      <c r="S68" s="7" t="s">
        <v>569</v>
      </c>
      <c r="T68" s="7" t="s">
        <v>568</v>
      </c>
      <c r="U68" s="7" t="s">
        <v>2438</v>
      </c>
      <c r="V68" s="7" t="s">
        <v>2439</v>
      </c>
      <c r="W68" s="7" t="s">
        <v>2440</v>
      </c>
      <c r="X68" s="7" t="s">
        <v>2441</v>
      </c>
      <c r="Y68" s="7" t="s">
        <v>2484</v>
      </c>
      <c r="Z68" s="7" t="s">
        <v>2442</v>
      </c>
    </row>
    <row r="69" customFormat="false" ht="158.2" hidden="false" customHeight="false" outlineLevel="0" collapsed="false">
      <c r="A69" s="7" t="s">
        <v>1263</v>
      </c>
      <c r="B69" s="7" t="s">
        <v>97</v>
      </c>
      <c r="C69" s="7" t="s">
        <v>1029</v>
      </c>
      <c r="D69" s="7" t="s">
        <v>874</v>
      </c>
      <c r="E69" s="7" t="s">
        <v>1006</v>
      </c>
      <c r="F69" s="7" t="s">
        <v>613</v>
      </c>
      <c r="G69" s="7" t="s">
        <v>1261</v>
      </c>
      <c r="H69" s="7" t="s">
        <v>1262</v>
      </c>
      <c r="I69" s="8" t="n">
        <v>0.3</v>
      </c>
      <c r="J69" s="7" t="s">
        <v>627</v>
      </c>
      <c r="K69" s="7" t="s">
        <v>2495</v>
      </c>
      <c r="L69" s="7" t="s">
        <v>2496</v>
      </c>
      <c r="M69" s="7" t="s">
        <v>2433</v>
      </c>
      <c r="N69" s="7" t="s">
        <v>2434</v>
      </c>
      <c r="O69" s="7" t="s">
        <v>2491</v>
      </c>
      <c r="P69" s="7" t="s">
        <v>2497</v>
      </c>
      <c r="Q69" s="7" t="s">
        <v>2494</v>
      </c>
      <c r="R69" s="7"/>
      <c r="S69" s="7"/>
      <c r="T69" s="7" t="s">
        <v>1065</v>
      </c>
      <c r="U69" s="7" t="s">
        <v>2438</v>
      </c>
      <c r="V69" s="7" t="s">
        <v>2439</v>
      </c>
      <c r="W69" s="7" t="s">
        <v>2440</v>
      </c>
      <c r="X69" s="7" t="s">
        <v>2441</v>
      </c>
      <c r="Y69" s="7" t="s">
        <v>2484</v>
      </c>
      <c r="Z69" s="7" t="s">
        <v>2442</v>
      </c>
    </row>
    <row r="70" customFormat="false" ht="158.2" hidden="false" customHeight="false" outlineLevel="0" collapsed="false">
      <c r="A70" s="7" t="s">
        <v>1266</v>
      </c>
      <c r="B70" s="7" t="s">
        <v>97</v>
      </c>
      <c r="C70" s="7" t="s">
        <v>1029</v>
      </c>
      <c r="D70" s="7" t="s">
        <v>890</v>
      </c>
      <c r="E70" s="7" t="s">
        <v>1008</v>
      </c>
      <c r="F70" s="7" t="s">
        <v>613</v>
      </c>
      <c r="G70" s="7" t="s">
        <v>1264</v>
      </c>
      <c r="H70" s="7" t="s">
        <v>1265</v>
      </c>
      <c r="I70" s="8" t="n">
        <v>0.4</v>
      </c>
      <c r="J70" s="7" t="s">
        <v>250</v>
      </c>
      <c r="K70" s="7" t="s">
        <v>2452</v>
      </c>
      <c r="L70" s="7" t="s">
        <v>2453</v>
      </c>
      <c r="M70" s="7" t="s">
        <v>2433</v>
      </c>
      <c r="N70" s="7" t="s">
        <v>2434</v>
      </c>
      <c r="O70" s="7" t="s">
        <v>2454</v>
      </c>
      <c r="P70" s="7" t="s">
        <v>2455</v>
      </c>
      <c r="Q70" s="7" t="s">
        <v>2494</v>
      </c>
      <c r="R70" s="7"/>
      <c r="S70" s="7" t="s">
        <v>569</v>
      </c>
      <c r="T70" s="7" t="s">
        <v>568</v>
      </c>
      <c r="U70" s="7" t="s">
        <v>2438</v>
      </c>
      <c r="V70" s="7" t="s">
        <v>2439</v>
      </c>
      <c r="W70" s="7" t="s">
        <v>2440</v>
      </c>
      <c r="X70" s="7" t="s">
        <v>2441</v>
      </c>
      <c r="Y70" s="7" t="s">
        <v>2484</v>
      </c>
      <c r="Z70" s="7" t="s">
        <v>2442</v>
      </c>
    </row>
    <row r="71" customFormat="false" ht="158.2" hidden="false" customHeight="false" outlineLevel="0" collapsed="false">
      <c r="A71" s="7" t="s">
        <v>1270</v>
      </c>
      <c r="B71" s="7" t="s">
        <v>97</v>
      </c>
      <c r="C71" s="7" t="s">
        <v>1029</v>
      </c>
      <c r="D71" s="7" t="s">
        <v>894</v>
      </c>
      <c r="E71" s="7" t="s">
        <v>1009</v>
      </c>
      <c r="F71" s="7" t="s">
        <v>613</v>
      </c>
      <c r="G71" s="7" t="s">
        <v>1268</v>
      </c>
      <c r="H71" s="7" t="s">
        <v>1269</v>
      </c>
      <c r="I71" s="8" t="n">
        <v>1.2</v>
      </c>
      <c r="J71" s="7" t="s">
        <v>627</v>
      </c>
      <c r="K71" s="7" t="s">
        <v>2495</v>
      </c>
      <c r="L71" s="7" t="s">
        <v>2496</v>
      </c>
      <c r="M71" s="7" t="s">
        <v>2433</v>
      </c>
      <c r="N71" s="7" t="s">
        <v>2434</v>
      </c>
      <c r="O71" s="7" t="s">
        <v>2491</v>
      </c>
      <c r="P71" s="7" t="s">
        <v>2497</v>
      </c>
      <c r="Q71" s="7" t="s">
        <v>2494</v>
      </c>
      <c r="R71" s="7"/>
      <c r="S71" s="7" t="s">
        <v>1271</v>
      </c>
      <c r="T71" s="7" t="s">
        <v>556</v>
      </c>
      <c r="U71" s="7" t="s">
        <v>2438</v>
      </c>
      <c r="V71" s="7" t="s">
        <v>2439</v>
      </c>
      <c r="W71" s="7" t="s">
        <v>2440</v>
      </c>
      <c r="X71" s="7" t="s">
        <v>2441</v>
      </c>
      <c r="Y71" s="7" t="s">
        <v>2484</v>
      </c>
      <c r="Z71" s="7" t="s">
        <v>2442</v>
      </c>
    </row>
    <row r="72" customFormat="false" ht="214.15" hidden="false" customHeight="false" outlineLevel="0" collapsed="false">
      <c r="A72" s="7" t="s">
        <v>1274</v>
      </c>
      <c r="B72" s="7" t="s">
        <v>97</v>
      </c>
      <c r="C72" s="7" t="s">
        <v>1029</v>
      </c>
      <c r="D72" s="7" t="s">
        <v>898</v>
      </c>
      <c r="E72" s="7" t="s">
        <v>1010</v>
      </c>
      <c r="F72" s="7" t="s">
        <v>613</v>
      </c>
      <c r="G72" s="7" t="s">
        <v>1272</v>
      </c>
      <c r="H72" s="7" t="s">
        <v>1273</v>
      </c>
      <c r="I72" s="8" t="n">
        <v>0.2</v>
      </c>
      <c r="J72" s="7" t="s">
        <v>367</v>
      </c>
      <c r="K72" s="7" t="s">
        <v>2463</v>
      </c>
      <c r="L72" s="7" t="s">
        <v>2464</v>
      </c>
      <c r="M72" s="7" t="s">
        <v>2433</v>
      </c>
      <c r="N72" s="7" t="s">
        <v>2434</v>
      </c>
      <c r="O72" s="7" t="s">
        <v>2465</v>
      </c>
      <c r="P72" s="7" t="s">
        <v>2466</v>
      </c>
      <c r="Q72" s="7" t="s">
        <v>2494</v>
      </c>
      <c r="R72" s="7"/>
      <c r="S72" s="7" t="s">
        <v>569</v>
      </c>
      <c r="T72" s="7" t="s">
        <v>568</v>
      </c>
      <c r="U72" s="7" t="s">
        <v>2438</v>
      </c>
      <c r="V72" s="7" t="s">
        <v>2439</v>
      </c>
      <c r="W72" s="7" t="s">
        <v>2440</v>
      </c>
      <c r="X72" s="7" t="s">
        <v>2441</v>
      </c>
      <c r="Y72" s="7" t="s">
        <v>2484</v>
      </c>
      <c r="Z72" s="7" t="s">
        <v>2442</v>
      </c>
    </row>
    <row r="73" customFormat="false" ht="214.15" hidden="false" customHeight="false" outlineLevel="0" collapsed="false">
      <c r="A73" s="7" t="s">
        <v>1278</v>
      </c>
      <c r="B73" s="7" t="s">
        <v>97</v>
      </c>
      <c r="C73" s="7" t="s">
        <v>1029</v>
      </c>
      <c r="D73" s="7" t="s">
        <v>902</v>
      </c>
      <c r="E73" s="7" t="s">
        <v>1011</v>
      </c>
      <c r="F73" s="7" t="s">
        <v>613</v>
      </c>
      <c r="G73" s="7" t="s">
        <v>1277</v>
      </c>
      <c r="H73" s="7" t="s">
        <v>1273</v>
      </c>
      <c r="I73" s="8" t="n">
        <v>0.3</v>
      </c>
      <c r="J73" s="7" t="s">
        <v>367</v>
      </c>
      <c r="K73" s="7" t="s">
        <v>2463</v>
      </c>
      <c r="L73" s="7" t="s">
        <v>2464</v>
      </c>
      <c r="M73" s="7" t="s">
        <v>2433</v>
      </c>
      <c r="N73" s="7" t="s">
        <v>2434</v>
      </c>
      <c r="O73" s="7" t="s">
        <v>2465</v>
      </c>
      <c r="P73" s="7" t="s">
        <v>2466</v>
      </c>
      <c r="Q73" s="7" t="s">
        <v>2494</v>
      </c>
      <c r="R73" s="7"/>
      <c r="S73" s="7" t="s">
        <v>569</v>
      </c>
      <c r="T73" s="7" t="s">
        <v>568</v>
      </c>
      <c r="U73" s="7" t="s">
        <v>2438</v>
      </c>
      <c r="V73" s="7" t="s">
        <v>2439</v>
      </c>
      <c r="W73" s="7" t="s">
        <v>2440</v>
      </c>
      <c r="X73" s="7" t="s">
        <v>2441</v>
      </c>
      <c r="Y73" s="7" t="s">
        <v>2484</v>
      </c>
      <c r="Z73" s="7" t="s">
        <v>2442</v>
      </c>
    </row>
    <row r="74" customFormat="false" ht="158.2" hidden="false" customHeight="false" outlineLevel="0" collapsed="false">
      <c r="A74" s="7" t="s">
        <v>1282</v>
      </c>
      <c r="B74" s="7" t="s">
        <v>97</v>
      </c>
      <c r="C74" s="7" t="s">
        <v>1029</v>
      </c>
      <c r="D74" s="7" t="s">
        <v>915</v>
      </c>
      <c r="E74" s="7" t="s">
        <v>1014</v>
      </c>
      <c r="F74" s="7" t="s">
        <v>1279</v>
      </c>
      <c r="G74" s="7" t="s">
        <v>1280</v>
      </c>
      <c r="H74" s="7" t="s">
        <v>1281</v>
      </c>
      <c r="I74" s="8" t="n">
        <v>0.2</v>
      </c>
      <c r="J74" s="7" t="s">
        <v>347</v>
      </c>
      <c r="K74" s="7" t="s">
        <v>2458</v>
      </c>
      <c r="L74" s="7" t="s">
        <v>2459</v>
      </c>
      <c r="M74" s="7" t="s">
        <v>2433</v>
      </c>
      <c r="N74" s="7" t="s">
        <v>2434</v>
      </c>
      <c r="O74" s="7" t="s">
        <v>2460</v>
      </c>
      <c r="P74" s="7" t="s">
        <v>2461</v>
      </c>
      <c r="Q74" s="7" t="s">
        <v>2505</v>
      </c>
      <c r="R74" s="7"/>
      <c r="S74" s="7" t="s">
        <v>569</v>
      </c>
      <c r="T74" s="7" t="s">
        <v>568</v>
      </c>
      <c r="U74" s="7" t="s">
        <v>2438</v>
      </c>
      <c r="V74" s="7" t="s">
        <v>2439</v>
      </c>
      <c r="W74" s="7" t="s">
        <v>2440</v>
      </c>
      <c r="X74" s="7" t="s">
        <v>2441</v>
      </c>
      <c r="Y74" s="7" t="s">
        <v>2484</v>
      </c>
      <c r="Z74" s="7" t="s">
        <v>2442</v>
      </c>
    </row>
    <row r="75" customFormat="false" ht="158.2" hidden="false" customHeight="false" outlineLevel="0" collapsed="false">
      <c r="A75" s="7" t="s">
        <v>1286</v>
      </c>
      <c r="B75" s="7" t="s">
        <v>97</v>
      </c>
      <c r="C75" s="7" t="s">
        <v>1029</v>
      </c>
      <c r="D75" s="7" t="s">
        <v>911</v>
      </c>
      <c r="E75" s="7" t="s">
        <v>1013</v>
      </c>
      <c r="F75" s="7" t="s">
        <v>1279</v>
      </c>
      <c r="G75" s="7" t="s">
        <v>1285</v>
      </c>
      <c r="H75" s="7" t="s">
        <v>1281</v>
      </c>
      <c r="I75" s="8" t="n">
        <v>0.3</v>
      </c>
      <c r="J75" s="7" t="s">
        <v>347</v>
      </c>
      <c r="K75" s="7" t="s">
        <v>2458</v>
      </c>
      <c r="L75" s="7" t="s">
        <v>2459</v>
      </c>
      <c r="M75" s="7" t="s">
        <v>2433</v>
      </c>
      <c r="N75" s="7" t="s">
        <v>2434</v>
      </c>
      <c r="O75" s="7" t="s">
        <v>2460</v>
      </c>
      <c r="P75" s="7" t="s">
        <v>2461</v>
      </c>
      <c r="Q75" s="7" t="s">
        <v>2505</v>
      </c>
      <c r="R75" s="7"/>
      <c r="S75" s="7" t="s">
        <v>569</v>
      </c>
      <c r="T75" s="7" t="s">
        <v>568</v>
      </c>
      <c r="U75" s="7" t="s">
        <v>2438</v>
      </c>
      <c r="V75" s="7" t="s">
        <v>2439</v>
      </c>
      <c r="W75" s="7" t="s">
        <v>2440</v>
      </c>
      <c r="X75" s="7" t="s">
        <v>2441</v>
      </c>
      <c r="Y75" s="7" t="s">
        <v>2484</v>
      </c>
      <c r="Z75" s="7" t="s">
        <v>2442</v>
      </c>
    </row>
    <row r="76" customFormat="false" ht="158.2" hidden="false" customHeight="false" outlineLevel="0" collapsed="false">
      <c r="A76" s="7" t="s">
        <v>1290</v>
      </c>
      <c r="B76" s="7" t="s">
        <v>97</v>
      </c>
      <c r="C76" s="7" t="s">
        <v>1029</v>
      </c>
      <c r="D76" s="7" t="s">
        <v>907</v>
      </c>
      <c r="E76" s="7" t="s">
        <v>1012</v>
      </c>
      <c r="F76" s="7" t="s">
        <v>1279</v>
      </c>
      <c r="G76" s="7" t="s">
        <v>1288</v>
      </c>
      <c r="H76" s="7" t="s">
        <v>1289</v>
      </c>
      <c r="I76" s="8" t="n">
        <v>0.5</v>
      </c>
      <c r="J76" s="7" t="s">
        <v>627</v>
      </c>
      <c r="K76" s="7" t="s">
        <v>2495</v>
      </c>
      <c r="L76" s="7" t="s">
        <v>2496</v>
      </c>
      <c r="M76" s="7" t="s">
        <v>2433</v>
      </c>
      <c r="N76" s="7" t="s">
        <v>2434</v>
      </c>
      <c r="O76" s="7" t="s">
        <v>2491</v>
      </c>
      <c r="P76" s="7" t="s">
        <v>2497</v>
      </c>
      <c r="Q76" s="7" t="s">
        <v>2505</v>
      </c>
      <c r="R76" s="7"/>
      <c r="S76" s="7" t="s">
        <v>557</v>
      </c>
      <c r="T76" s="7" t="s">
        <v>556</v>
      </c>
      <c r="U76" s="7" t="s">
        <v>2438</v>
      </c>
      <c r="V76" s="7" t="s">
        <v>2439</v>
      </c>
      <c r="W76" s="7" t="s">
        <v>2440</v>
      </c>
      <c r="X76" s="7" t="s">
        <v>2441</v>
      </c>
      <c r="Y76" s="7" t="s">
        <v>2484</v>
      </c>
      <c r="Z76" s="7" t="s">
        <v>2442</v>
      </c>
    </row>
    <row r="77" customFormat="false" ht="158.2" hidden="false" customHeight="false" outlineLevel="0" collapsed="false">
      <c r="A77" s="7" t="s">
        <v>1297</v>
      </c>
      <c r="B77" s="7" t="s">
        <v>97</v>
      </c>
      <c r="C77" s="7" t="s">
        <v>1029</v>
      </c>
      <c r="D77" s="7" t="s">
        <v>1293</v>
      </c>
      <c r="E77" s="7" t="s">
        <v>1294</v>
      </c>
      <c r="F77" s="7" t="s">
        <v>1279</v>
      </c>
      <c r="G77" s="7" t="s">
        <v>1295</v>
      </c>
      <c r="H77" s="7" t="s">
        <v>1296</v>
      </c>
      <c r="I77" s="8" t="n">
        <v>0.2</v>
      </c>
      <c r="J77" s="7" t="s">
        <v>627</v>
      </c>
      <c r="K77" s="7" t="s">
        <v>2495</v>
      </c>
      <c r="L77" s="7" t="s">
        <v>2496</v>
      </c>
      <c r="M77" s="7" t="s">
        <v>2433</v>
      </c>
      <c r="N77" s="7" t="s">
        <v>2434</v>
      </c>
      <c r="O77" s="7" t="s">
        <v>2491</v>
      </c>
      <c r="P77" s="7" t="s">
        <v>2497</v>
      </c>
      <c r="Q77" s="7" t="s">
        <v>2505</v>
      </c>
      <c r="R77" s="7"/>
      <c r="S77" s="7" t="s">
        <v>557</v>
      </c>
      <c r="T77" s="7" t="s">
        <v>556</v>
      </c>
      <c r="U77" s="7" t="s">
        <v>2438</v>
      </c>
      <c r="V77" s="7" t="s">
        <v>2439</v>
      </c>
      <c r="W77" s="7" t="s">
        <v>2440</v>
      </c>
      <c r="X77" s="7" t="s">
        <v>2441</v>
      </c>
      <c r="Y77" s="7" t="s">
        <v>2484</v>
      </c>
      <c r="Z77" s="7" t="s">
        <v>2442</v>
      </c>
    </row>
    <row r="78" customFormat="false" ht="158.2" hidden="false" customHeight="false" outlineLevel="0" collapsed="false">
      <c r="A78" s="7" t="s">
        <v>1300</v>
      </c>
      <c r="B78" s="7" t="s">
        <v>97</v>
      </c>
      <c r="C78" s="7" t="s">
        <v>1029</v>
      </c>
      <c r="D78" s="7" t="s">
        <v>886</v>
      </c>
      <c r="E78" s="7" t="s">
        <v>1007</v>
      </c>
      <c r="F78" s="7" t="s">
        <v>1279</v>
      </c>
      <c r="G78" s="7" t="s">
        <v>1298</v>
      </c>
      <c r="H78" s="7" t="s">
        <v>1299</v>
      </c>
      <c r="I78" s="8" t="n">
        <v>0.5</v>
      </c>
      <c r="J78" s="7" t="s">
        <v>250</v>
      </c>
      <c r="K78" s="7" t="s">
        <v>2452</v>
      </c>
      <c r="L78" s="7" t="s">
        <v>2453</v>
      </c>
      <c r="M78" s="7" t="s">
        <v>2433</v>
      </c>
      <c r="N78" s="7" t="s">
        <v>2434</v>
      </c>
      <c r="O78" s="7" t="s">
        <v>2454</v>
      </c>
      <c r="P78" s="7" t="s">
        <v>2455</v>
      </c>
      <c r="Q78" s="7" t="s">
        <v>2505</v>
      </c>
      <c r="R78" s="7"/>
      <c r="S78" s="7" t="s">
        <v>557</v>
      </c>
      <c r="T78" s="7" t="s">
        <v>556</v>
      </c>
      <c r="U78" s="7" t="s">
        <v>2438</v>
      </c>
      <c r="V78" s="7" t="s">
        <v>2439</v>
      </c>
      <c r="W78" s="7" t="s">
        <v>2440</v>
      </c>
      <c r="X78" s="7" t="s">
        <v>2441</v>
      </c>
      <c r="Y78" s="7" t="s">
        <v>2484</v>
      </c>
      <c r="Z78" s="7" t="s">
        <v>2442</v>
      </c>
    </row>
    <row r="79" customFormat="false" ht="158.2" hidden="false" customHeight="false" outlineLevel="0" collapsed="false">
      <c r="A79" s="7" t="s">
        <v>1306</v>
      </c>
      <c r="B79" s="7" t="s">
        <v>97</v>
      </c>
      <c r="C79" s="7" t="s">
        <v>1029</v>
      </c>
      <c r="D79" s="7" t="s">
        <v>1302</v>
      </c>
      <c r="E79" s="7" t="s">
        <v>1303</v>
      </c>
      <c r="F79" s="7" t="s">
        <v>1279</v>
      </c>
      <c r="G79" s="7" t="s">
        <v>1304</v>
      </c>
      <c r="H79" s="7" t="s">
        <v>1305</v>
      </c>
      <c r="I79" s="8" t="n">
        <v>1.3</v>
      </c>
      <c r="J79" s="7" t="s">
        <v>250</v>
      </c>
      <c r="K79" s="7" t="s">
        <v>2452</v>
      </c>
      <c r="L79" s="7" t="s">
        <v>2453</v>
      </c>
      <c r="M79" s="7" t="s">
        <v>2433</v>
      </c>
      <c r="N79" s="7" t="s">
        <v>2434</v>
      </c>
      <c r="O79" s="7" t="s">
        <v>2454</v>
      </c>
      <c r="P79" s="7" t="s">
        <v>2455</v>
      </c>
      <c r="Q79" s="7" t="s">
        <v>2505</v>
      </c>
      <c r="R79" s="7" t="s">
        <v>2506</v>
      </c>
      <c r="S79" s="7" t="s">
        <v>557</v>
      </c>
      <c r="T79" s="7" t="s">
        <v>556</v>
      </c>
      <c r="U79" s="7" t="s">
        <v>2438</v>
      </c>
      <c r="V79" s="7" t="s">
        <v>2439</v>
      </c>
      <c r="W79" s="7" t="s">
        <v>2440</v>
      </c>
      <c r="X79" s="7" t="s">
        <v>2441</v>
      </c>
      <c r="Y79" s="7" t="s">
        <v>2484</v>
      </c>
      <c r="Z79" s="7" t="s">
        <v>2442</v>
      </c>
    </row>
    <row r="80" customFormat="false" ht="158.2" hidden="false" customHeight="false" outlineLevel="0" collapsed="false">
      <c r="A80" s="7" t="s">
        <v>1312</v>
      </c>
      <c r="B80" s="7" t="s">
        <v>97</v>
      </c>
      <c r="C80" s="7" t="s">
        <v>1029</v>
      </c>
      <c r="D80" s="7" t="s">
        <v>1308</v>
      </c>
      <c r="E80" s="7" t="s">
        <v>1309</v>
      </c>
      <c r="F80" s="7" t="s">
        <v>1279</v>
      </c>
      <c r="G80" s="7" t="s">
        <v>1310</v>
      </c>
      <c r="H80" s="7" t="s">
        <v>1311</v>
      </c>
      <c r="I80" s="8" t="n">
        <v>0.9</v>
      </c>
      <c r="J80" s="7" t="s">
        <v>627</v>
      </c>
      <c r="K80" s="7" t="s">
        <v>2495</v>
      </c>
      <c r="L80" s="7" t="s">
        <v>2496</v>
      </c>
      <c r="M80" s="7" t="s">
        <v>2433</v>
      </c>
      <c r="N80" s="7" t="s">
        <v>2434</v>
      </c>
      <c r="O80" s="7" t="s">
        <v>2491</v>
      </c>
      <c r="P80" s="7" t="s">
        <v>2497</v>
      </c>
      <c r="Q80" s="7" t="s">
        <v>2505</v>
      </c>
      <c r="R80" s="7"/>
      <c r="S80" s="7" t="s">
        <v>557</v>
      </c>
      <c r="T80" s="7" t="s">
        <v>556</v>
      </c>
      <c r="U80" s="7" t="s">
        <v>2438</v>
      </c>
      <c r="V80" s="7" t="s">
        <v>2439</v>
      </c>
      <c r="W80" s="7" t="s">
        <v>2440</v>
      </c>
      <c r="X80" s="7" t="s">
        <v>2441</v>
      </c>
      <c r="Y80" s="7" t="s">
        <v>2484</v>
      </c>
      <c r="Z80" s="7" t="s">
        <v>2442</v>
      </c>
    </row>
    <row r="81" customFormat="false" ht="639.55" hidden="false" customHeight="false" outlineLevel="0" collapsed="false">
      <c r="A81" s="7" t="s">
        <v>1316</v>
      </c>
      <c r="B81" s="7" t="s">
        <v>97</v>
      </c>
      <c r="C81" s="7" t="s">
        <v>1029</v>
      </c>
      <c r="D81" s="7" t="s">
        <v>942</v>
      </c>
      <c r="E81" s="7" t="s">
        <v>1019</v>
      </c>
      <c r="F81" s="7" t="s">
        <v>623</v>
      </c>
      <c r="G81" s="7" t="s">
        <v>1314</v>
      </c>
      <c r="H81" s="7" t="s">
        <v>1315</v>
      </c>
      <c r="I81" s="8" t="n">
        <v>0.4</v>
      </c>
      <c r="J81" s="7" t="s">
        <v>523</v>
      </c>
      <c r="K81" s="7" t="s">
        <v>2468</v>
      </c>
      <c r="L81" s="7" t="s">
        <v>2469</v>
      </c>
      <c r="M81" s="7" t="s">
        <v>2433</v>
      </c>
      <c r="N81" s="7" t="s">
        <v>2434</v>
      </c>
      <c r="O81" s="7" t="s">
        <v>2470</v>
      </c>
      <c r="P81" s="7" t="s">
        <v>2471</v>
      </c>
      <c r="Q81" s="7" t="s">
        <v>2498</v>
      </c>
      <c r="R81" s="7"/>
      <c r="S81" s="7" t="s">
        <v>569</v>
      </c>
      <c r="T81" s="7" t="s">
        <v>628</v>
      </c>
      <c r="U81" s="7" t="s">
        <v>2438</v>
      </c>
      <c r="V81" s="7" t="s">
        <v>2439</v>
      </c>
      <c r="W81" s="7" t="s">
        <v>2440</v>
      </c>
      <c r="X81" s="7" t="s">
        <v>2441</v>
      </c>
      <c r="Y81" s="7" t="s">
        <v>2484</v>
      </c>
      <c r="Z81" s="7" t="s">
        <v>2442</v>
      </c>
    </row>
    <row r="82" customFormat="false" ht="639.55" hidden="false" customHeight="false" outlineLevel="0" collapsed="false">
      <c r="A82" s="7" t="s">
        <v>1320</v>
      </c>
      <c r="B82" s="7" t="s">
        <v>97</v>
      </c>
      <c r="C82" s="7" t="s">
        <v>1029</v>
      </c>
      <c r="D82" s="7" t="s">
        <v>1317</v>
      </c>
      <c r="E82" s="7" t="s">
        <v>1318</v>
      </c>
      <c r="F82" s="7" t="s">
        <v>623</v>
      </c>
      <c r="G82" s="7" t="s">
        <v>1319</v>
      </c>
      <c r="H82" s="7" t="s">
        <v>1315</v>
      </c>
      <c r="I82" s="8" t="n">
        <v>0.5</v>
      </c>
      <c r="J82" s="7" t="s">
        <v>523</v>
      </c>
      <c r="K82" s="7" t="s">
        <v>2468</v>
      </c>
      <c r="L82" s="7" t="s">
        <v>2469</v>
      </c>
      <c r="M82" s="7" t="s">
        <v>2433</v>
      </c>
      <c r="N82" s="7" t="s">
        <v>2434</v>
      </c>
      <c r="O82" s="7" t="s">
        <v>2470</v>
      </c>
      <c r="P82" s="7" t="s">
        <v>2471</v>
      </c>
      <c r="Q82" s="7" t="s">
        <v>2498</v>
      </c>
      <c r="R82" s="7"/>
      <c r="S82" s="7" t="s">
        <v>569</v>
      </c>
      <c r="T82" s="7" t="s">
        <v>628</v>
      </c>
      <c r="U82" s="7" t="s">
        <v>2438</v>
      </c>
      <c r="V82" s="7" t="s">
        <v>2439</v>
      </c>
      <c r="W82" s="7" t="s">
        <v>2440</v>
      </c>
      <c r="X82" s="7" t="s">
        <v>2441</v>
      </c>
      <c r="Y82" s="7" t="s">
        <v>2484</v>
      </c>
      <c r="Z82" s="7" t="s">
        <v>2442</v>
      </c>
    </row>
    <row r="83" customFormat="false" ht="639.55" hidden="false" customHeight="false" outlineLevel="0" collapsed="false">
      <c r="A83" s="7" t="s">
        <v>1324</v>
      </c>
      <c r="B83" s="7" t="s">
        <v>97</v>
      </c>
      <c r="C83" s="7" t="s">
        <v>1029</v>
      </c>
      <c r="D83" s="7" t="s">
        <v>1321</v>
      </c>
      <c r="E83" s="7" t="s">
        <v>1322</v>
      </c>
      <c r="F83" s="7" t="s">
        <v>623</v>
      </c>
      <c r="G83" s="7" t="s">
        <v>1323</v>
      </c>
      <c r="H83" s="7" t="s">
        <v>1315</v>
      </c>
      <c r="I83" s="8" t="n">
        <v>0.6</v>
      </c>
      <c r="J83" s="7" t="s">
        <v>523</v>
      </c>
      <c r="K83" s="7" t="s">
        <v>2468</v>
      </c>
      <c r="L83" s="7" t="s">
        <v>2469</v>
      </c>
      <c r="M83" s="7" t="s">
        <v>2433</v>
      </c>
      <c r="N83" s="7" t="s">
        <v>2434</v>
      </c>
      <c r="O83" s="7" t="s">
        <v>2470</v>
      </c>
      <c r="P83" s="7" t="s">
        <v>2471</v>
      </c>
      <c r="Q83" s="7" t="s">
        <v>2498</v>
      </c>
      <c r="R83" s="7"/>
      <c r="S83" s="7" t="s">
        <v>569</v>
      </c>
      <c r="T83" s="7" t="s">
        <v>628</v>
      </c>
      <c r="U83" s="7" t="s">
        <v>2438</v>
      </c>
      <c r="V83" s="7" t="s">
        <v>2439</v>
      </c>
      <c r="W83" s="7" t="s">
        <v>2440</v>
      </c>
      <c r="X83" s="7" t="s">
        <v>2441</v>
      </c>
      <c r="Y83" s="7" t="s">
        <v>2484</v>
      </c>
      <c r="Z83" s="7" t="s">
        <v>2442</v>
      </c>
    </row>
    <row r="84" customFormat="false" ht="639.55" hidden="false" customHeight="false" outlineLevel="0" collapsed="false">
      <c r="A84" s="7" t="s">
        <v>1326</v>
      </c>
      <c r="B84" s="7" t="s">
        <v>97</v>
      </c>
      <c r="C84" s="7" t="s">
        <v>1029</v>
      </c>
      <c r="D84" s="7" t="s">
        <v>950</v>
      </c>
      <c r="E84" s="7" t="s">
        <v>1021</v>
      </c>
      <c r="F84" s="7" t="s">
        <v>623</v>
      </c>
      <c r="G84" s="7" t="s">
        <v>1325</v>
      </c>
      <c r="H84" s="7" t="s">
        <v>1315</v>
      </c>
      <c r="I84" s="8" t="n">
        <v>0.6</v>
      </c>
      <c r="J84" s="7" t="s">
        <v>523</v>
      </c>
      <c r="K84" s="7" t="s">
        <v>2468</v>
      </c>
      <c r="L84" s="7" t="s">
        <v>2469</v>
      </c>
      <c r="M84" s="7" t="s">
        <v>2433</v>
      </c>
      <c r="N84" s="7" t="s">
        <v>2434</v>
      </c>
      <c r="O84" s="7" t="s">
        <v>2470</v>
      </c>
      <c r="P84" s="7" t="s">
        <v>2471</v>
      </c>
      <c r="Q84" s="7" t="s">
        <v>2498</v>
      </c>
      <c r="R84" s="7"/>
      <c r="S84" s="7" t="s">
        <v>569</v>
      </c>
      <c r="T84" s="7" t="s">
        <v>628</v>
      </c>
      <c r="U84" s="7" t="s">
        <v>2438</v>
      </c>
      <c r="V84" s="7" t="s">
        <v>2439</v>
      </c>
      <c r="W84" s="7" t="s">
        <v>2440</v>
      </c>
      <c r="X84" s="7" t="s">
        <v>2441</v>
      </c>
      <c r="Y84" s="7" t="s">
        <v>2484</v>
      </c>
      <c r="Z84" s="7" t="s">
        <v>2442</v>
      </c>
    </row>
    <row r="85" customFormat="false" ht="639.55" hidden="false" customHeight="false" outlineLevel="0" collapsed="false">
      <c r="A85" s="7" t="s">
        <v>1328</v>
      </c>
      <c r="B85" s="7" t="s">
        <v>97</v>
      </c>
      <c r="C85" s="7" t="s">
        <v>1029</v>
      </c>
      <c r="D85" s="7" t="s">
        <v>954</v>
      </c>
      <c r="E85" s="7" t="s">
        <v>1022</v>
      </c>
      <c r="F85" s="7" t="s">
        <v>623</v>
      </c>
      <c r="G85" s="7" t="s">
        <v>1327</v>
      </c>
      <c r="H85" s="7" t="s">
        <v>1315</v>
      </c>
      <c r="I85" s="8" t="n">
        <v>0.6</v>
      </c>
      <c r="J85" s="7" t="s">
        <v>523</v>
      </c>
      <c r="K85" s="7" t="s">
        <v>2468</v>
      </c>
      <c r="L85" s="7" t="s">
        <v>2469</v>
      </c>
      <c r="M85" s="7" t="s">
        <v>2433</v>
      </c>
      <c r="N85" s="7" t="s">
        <v>2434</v>
      </c>
      <c r="O85" s="7" t="s">
        <v>2470</v>
      </c>
      <c r="P85" s="7" t="s">
        <v>2471</v>
      </c>
      <c r="Q85" s="7" t="s">
        <v>2498</v>
      </c>
      <c r="R85" s="7"/>
      <c r="S85" s="7" t="s">
        <v>569</v>
      </c>
      <c r="T85" s="7" t="s">
        <v>628</v>
      </c>
      <c r="U85" s="7" t="s">
        <v>2438</v>
      </c>
      <c r="V85" s="7" t="s">
        <v>2439</v>
      </c>
      <c r="W85" s="7" t="s">
        <v>2440</v>
      </c>
      <c r="X85" s="7" t="s">
        <v>2441</v>
      </c>
      <c r="Y85" s="7" t="s">
        <v>2484</v>
      </c>
      <c r="Z85" s="7" t="s">
        <v>2442</v>
      </c>
    </row>
    <row r="86" customFormat="false" ht="639.55" hidden="false" customHeight="false" outlineLevel="0" collapsed="false">
      <c r="A86" s="7" t="s">
        <v>1330</v>
      </c>
      <c r="B86" s="7" t="s">
        <v>97</v>
      </c>
      <c r="C86" s="7" t="s">
        <v>1029</v>
      </c>
      <c r="D86" s="7" t="s">
        <v>958</v>
      </c>
      <c r="E86" s="7" t="s">
        <v>1023</v>
      </c>
      <c r="F86" s="7" t="s">
        <v>623</v>
      </c>
      <c r="G86" s="7" t="s">
        <v>1329</v>
      </c>
      <c r="H86" s="7" t="s">
        <v>1315</v>
      </c>
      <c r="I86" s="8" t="n">
        <v>0.2</v>
      </c>
      <c r="J86" s="7" t="s">
        <v>523</v>
      </c>
      <c r="K86" s="7" t="s">
        <v>2468</v>
      </c>
      <c r="L86" s="7" t="s">
        <v>2469</v>
      </c>
      <c r="M86" s="7" t="s">
        <v>2433</v>
      </c>
      <c r="N86" s="7" t="s">
        <v>2434</v>
      </c>
      <c r="O86" s="7" t="s">
        <v>2470</v>
      </c>
      <c r="P86" s="7" t="s">
        <v>2471</v>
      </c>
      <c r="Q86" s="7" t="s">
        <v>2498</v>
      </c>
      <c r="R86" s="7"/>
      <c r="S86" s="7" t="s">
        <v>569</v>
      </c>
      <c r="T86" s="7" t="s">
        <v>628</v>
      </c>
      <c r="U86" s="7" t="s">
        <v>2438</v>
      </c>
      <c r="V86" s="7" t="s">
        <v>2439</v>
      </c>
      <c r="W86" s="7" t="s">
        <v>2440</v>
      </c>
      <c r="X86" s="7" t="s">
        <v>2441</v>
      </c>
      <c r="Y86" s="7" t="s">
        <v>2484</v>
      </c>
      <c r="Z86" s="7" t="s">
        <v>2442</v>
      </c>
    </row>
    <row r="87" customFormat="false" ht="639.55" hidden="false" customHeight="false" outlineLevel="0" collapsed="false">
      <c r="A87" s="7" t="s">
        <v>1335</v>
      </c>
      <c r="B87" s="7" t="s">
        <v>97</v>
      </c>
      <c r="C87" s="7" t="s">
        <v>1029</v>
      </c>
      <c r="D87" s="7" t="s">
        <v>1332</v>
      </c>
      <c r="E87" s="7" t="s">
        <v>1333</v>
      </c>
      <c r="F87" s="7" t="s">
        <v>623</v>
      </c>
      <c r="G87" s="7" t="s">
        <v>1334</v>
      </c>
      <c r="H87" s="7" t="s">
        <v>1315</v>
      </c>
      <c r="I87" s="8" t="n">
        <v>0.2</v>
      </c>
      <c r="J87" s="7" t="s">
        <v>523</v>
      </c>
      <c r="K87" s="7" t="s">
        <v>2468</v>
      </c>
      <c r="L87" s="7" t="s">
        <v>2469</v>
      </c>
      <c r="M87" s="7" t="s">
        <v>2433</v>
      </c>
      <c r="N87" s="7" t="s">
        <v>2434</v>
      </c>
      <c r="O87" s="7" t="s">
        <v>2470</v>
      </c>
      <c r="P87" s="7" t="s">
        <v>2471</v>
      </c>
      <c r="Q87" s="7" t="s">
        <v>2498</v>
      </c>
      <c r="R87" s="7"/>
      <c r="S87" s="7" t="s">
        <v>569</v>
      </c>
      <c r="T87" s="7" t="s">
        <v>628</v>
      </c>
      <c r="U87" s="7" t="s">
        <v>2438</v>
      </c>
      <c r="V87" s="7" t="s">
        <v>2439</v>
      </c>
      <c r="W87" s="7" t="s">
        <v>2440</v>
      </c>
      <c r="X87" s="7" t="s">
        <v>2441</v>
      </c>
      <c r="Y87" s="7" t="s">
        <v>2484</v>
      </c>
      <c r="Z87" s="7" t="s">
        <v>2442</v>
      </c>
    </row>
    <row r="88" customFormat="false" ht="639.55" hidden="false" customHeight="false" outlineLevel="0" collapsed="false">
      <c r="A88" s="7" t="s">
        <v>1337</v>
      </c>
      <c r="B88" s="7" t="s">
        <v>97</v>
      </c>
      <c r="C88" s="7" t="s">
        <v>1029</v>
      </c>
      <c r="D88" s="7" t="s">
        <v>965</v>
      </c>
      <c r="E88" s="7" t="s">
        <v>1024</v>
      </c>
      <c r="F88" s="7" t="s">
        <v>623</v>
      </c>
      <c r="G88" s="7" t="s">
        <v>1336</v>
      </c>
      <c r="H88" s="7" t="s">
        <v>1315</v>
      </c>
      <c r="I88" s="8" t="n">
        <v>0.1</v>
      </c>
      <c r="J88" s="7" t="s">
        <v>523</v>
      </c>
      <c r="K88" s="7" t="s">
        <v>2468</v>
      </c>
      <c r="L88" s="7" t="s">
        <v>2469</v>
      </c>
      <c r="M88" s="7" t="s">
        <v>2433</v>
      </c>
      <c r="N88" s="7" t="s">
        <v>2434</v>
      </c>
      <c r="O88" s="7" t="s">
        <v>2470</v>
      </c>
      <c r="P88" s="7" t="s">
        <v>2471</v>
      </c>
      <c r="Q88" s="7" t="s">
        <v>2498</v>
      </c>
      <c r="R88" s="7"/>
      <c r="S88" s="7" t="s">
        <v>569</v>
      </c>
      <c r="T88" s="7" t="s">
        <v>628</v>
      </c>
      <c r="U88" s="7" t="s">
        <v>2438</v>
      </c>
      <c r="V88" s="7" t="s">
        <v>2439</v>
      </c>
      <c r="W88" s="7" t="s">
        <v>2440</v>
      </c>
      <c r="X88" s="7" t="s">
        <v>2441</v>
      </c>
      <c r="Y88" s="7" t="s">
        <v>2484</v>
      </c>
      <c r="Z88" s="7" t="s">
        <v>2442</v>
      </c>
    </row>
    <row r="89" customFormat="false" ht="158.2" hidden="false" customHeight="false" outlineLevel="0" collapsed="false">
      <c r="A89" s="7" t="s">
        <v>1340</v>
      </c>
      <c r="B89" s="7" t="s">
        <v>97</v>
      </c>
      <c r="C89" s="7" t="s">
        <v>1029</v>
      </c>
      <c r="D89" s="7" t="s">
        <v>931</v>
      </c>
      <c r="E89" s="7" t="s">
        <v>1017</v>
      </c>
      <c r="F89" s="7" t="s">
        <v>623</v>
      </c>
      <c r="G89" s="7" t="s">
        <v>1338</v>
      </c>
      <c r="H89" s="7" t="s">
        <v>1339</v>
      </c>
      <c r="I89" s="8" t="n">
        <v>0.1</v>
      </c>
      <c r="J89" s="7" t="s">
        <v>523</v>
      </c>
      <c r="K89" s="7" t="s">
        <v>2468</v>
      </c>
      <c r="L89" s="7" t="s">
        <v>2469</v>
      </c>
      <c r="M89" s="7" t="s">
        <v>2433</v>
      </c>
      <c r="N89" s="7" t="s">
        <v>2434</v>
      </c>
      <c r="O89" s="7" t="s">
        <v>2470</v>
      </c>
      <c r="P89" s="7" t="s">
        <v>2471</v>
      </c>
      <c r="Q89" s="7" t="s">
        <v>2498</v>
      </c>
      <c r="R89" s="7"/>
      <c r="S89" s="7" t="s">
        <v>557</v>
      </c>
      <c r="T89" s="7" t="s">
        <v>556</v>
      </c>
      <c r="U89" s="7" t="s">
        <v>2438</v>
      </c>
      <c r="V89" s="7" t="s">
        <v>2439</v>
      </c>
      <c r="W89" s="7" t="s">
        <v>2440</v>
      </c>
      <c r="X89" s="7" t="s">
        <v>2441</v>
      </c>
      <c r="Y89" s="7" t="s">
        <v>2484</v>
      </c>
      <c r="Z89" s="7" t="s">
        <v>2442</v>
      </c>
    </row>
    <row r="90" customFormat="false" ht="158.2" hidden="false" customHeight="false" outlineLevel="0" collapsed="false">
      <c r="A90" s="7" t="s">
        <v>1345</v>
      </c>
      <c r="B90" s="7" t="s">
        <v>97</v>
      </c>
      <c r="C90" s="7" t="s">
        <v>1029</v>
      </c>
      <c r="D90" s="7" t="s">
        <v>1341</v>
      </c>
      <c r="E90" s="7" t="s">
        <v>1342</v>
      </c>
      <c r="F90" s="7" t="s">
        <v>623</v>
      </c>
      <c r="G90" s="7" t="s">
        <v>1343</v>
      </c>
      <c r="H90" s="7" t="s">
        <v>1344</v>
      </c>
      <c r="I90" s="8" t="n">
        <v>0.1</v>
      </c>
      <c r="J90" s="7" t="s">
        <v>523</v>
      </c>
      <c r="K90" s="7" t="s">
        <v>2468</v>
      </c>
      <c r="L90" s="7" t="s">
        <v>2469</v>
      </c>
      <c r="M90" s="7" t="s">
        <v>2433</v>
      </c>
      <c r="N90" s="7" t="s">
        <v>2434</v>
      </c>
      <c r="O90" s="7" t="s">
        <v>2470</v>
      </c>
      <c r="P90" s="7" t="s">
        <v>2471</v>
      </c>
      <c r="Q90" s="7" t="s">
        <v>2498</v>
      </c>
      <c r="R90" s="7"/>
      <c r="S90" s="7" t="s">
        <v>557</v>
      </c>
      <c r="T90" s="7" t="s">
        <v>556</v>
      </c>
      <c r="U90" s="7" t="s">
        <v>2438</v>
      </c>
      <c r="V90" s="7" t="s">
        <v>2439</v>
      </c>
      <c r="W90" s="7" t="s">
        <v>2440</v>
      </c>
      <c r="X90" s="7" t="s">
        <v>2441</v>
      </c>
      <c r="Y90" s="7" t="s">
        <v>2484</v>
      </c>
      <c r="Z90" s="7" t="s">
        <v>2442</v>
      </c>
    </row>
    <row r="91" customFormat="false" ht="158.2" hidden="false" customHeight="false" outlineLevel="0" collapsed="false">
      <c r="A91" s="7" t="s">
        <v>1352</v>
      </c>
      <c r="B91" s="7" t="s">
        <v>97</v>
      </c>
      <c r="C91" s="7" t="s">
        <v>1349</v>
      </c>
      <c r="D91" s="7" t="s">
        <v>1348</v>
      </c>
      <c r="E91" s="7" t="s">
        <v>669</v>
      </c>
      <c r="F91" s="7" t="s">
        <v>552</v>
      </c>
      <c r="G91" s="7" t="s">
        <v>1350</v>
      </c>
      <c r="H91" s="7" t="s">
        <v>1351</v>
      </c>
      <c r="I91" s="8" t="n">
        <v>0.1</v>
      </c>
      <c r="J91" s="7" t="s">
        <v>523</v>
      </c>
      <c r="K91" s="7" t="s">
        <v>2468</v>
      </c>
      <c r="L91" s="7" t="s">
        <v>2469</v>
      </c>
      <c r="M91" s="7" t="s">
        <v>2433</v>
      </c>
      <c r="N91" s="7" t="s">
        <v>2434</v>
      </c>
      <c r="O91" s="7" t="s">
        <v>2470</v>
      </c>
      <c r="P91" s="7" t="s">
        <v>2471</v>
      </c>
      <c r="Q91" s="7" t="s">
        <v>2482</v>
      </c>
      <c r="R91" s="7" t="s">
        <v>2507</v>
      </c>
      <c r="S91" s="7" t="s">
        <v>569</v>
      </c>
      <c r="T91" s="7" t="s">
        <v>568</v>
      </c>
      <c r="U91" s="7" t="s">
        <v>2438</v>
      </c>
      <c r="V91" s="7" t="s">
        <v>2439</v>
      </c>
      <c r="W91" s="7" t="s">
        <v>2440</v>
      </c>
      <c r="X91" s="7" t="s">
        <v>2441</v>
      </c>
      <c r="Y91" s="7" t="s">
        <v>2484</v>
      </c>
      <c r="Z91" s="7" t="s">
        <v>2442</v>
      </c>
    </row>
    <row r="92" customFormat="false" ht="158.2" hidden="false" customHeight="false" outlineLevel="0" collapsed="false">
      <c r="A92" s="7" t="s">
        <v>1357</v>
      </c>
      <c r="B92" s="7" t="s">
        <v>97</v>
      </c>
      <c r="C92" s="7" t="s">
        <v>1349</v>
      </c>
      <c r="D92" s="7" t="s">
        <v>1353</v>
      </c>
      <c r="E92" s="7" t="s">
        <v>1354</v>
      </c>
      <c r="F92" s="7" t="s">
        <v>552</v>
      </c>
      <c r="G92" s="7" t="s">
        <v>1355</v>
      </c>
      <c r="H92" s="7" t="s">
        <v>1356</v>
      </c>
      <c r="I92" s="8" t="n">
        <v>0.5</v>
      </c>
      <c r="J92" s="7" t="s">
        <v>250</v>
      </c>
      <c r="K92" s="7" t="s">
        <v>2452</v>
      </c>
      <c r="L92" s="7" t="s">
        <v>2453</v>
      </c>
      <c r="M92" s="7" t="s">
        <v>2433</v>
      </c>
      <c r="N92" s="7" t="s">
        <v>2434</v>
      </c>
      <c r="O92" s="7" t="s">
        <v>2454</v>
      </c>
      <c r="P92" s="7" t="s">
        <v>2455</v>
      </c>
      <c r="Q92" s="7" t="s">
        <v>2482</v>
      </c>
      <c r="R92" s="7"/>
      <c r="S92" s="7" t="s">
        <v>557</v>
      </c>
      <c r="T92" s="7" t="s">
        <v>556</v>
      </c>
      <c r="U92" s="7" t="s">
        <v>2438</v>
      </c>
      <c r="V92" s="7" t="s">
        <v>2439</v>
      </c>
      <c r="W92" s="7" t="s">
        <v>2440</v>
      </c>
      <c r="X92" s="7" t="s">
        <v>2441</v>
      </c>
      <c r="Y92" s="7" t="s">
        <v>2484</v>
      </c>
      <c r="Z92" s="7" t="s">
        <v>2442</v>
      </c>
    </row>
    <row r="93" customFormat="false" ht="158.2" hidden="false" customHeight="false" outlineLevel="0" collapsed="false">
      <c r="A93" s="7" t="s">
        <v>1363</v>
      </c>
      <c r="B93" s="7" t="s">
        <v>97</v>
      </c>
      <c r="C93" s="7" t="s">
        <v>1349</v>
      </c>
      <c r="D93" s="7" t="s">
        <v>1359</v>
      </c>
      <c r="E93" s="7" t="s">
        <v>1360</v>
      </c>
      <c r="F93" s="7" t="s">
        <v>552</v>
      </c>
      <c r="G93" s="7" t="s">
        <v>1361</v>
      </c>
      <c r="H93" s="7" t="s">
        <v>1362</v>
      </c>
      <c r="I93" s="8" t="n">
        <v>0.5</v>
      </c>
      <c r="J93" s="7" t="s">
        <v>250</v>
      </c>
      <c r="K93" s="7" t="s">
        <v>2452</v>
      </c>
      <c r="L93" s="7" t="s">
        <v>2453</v>
      </c>
      <c r="M93" s="7" t="s">
        <v>2433</v>
      </c>
      <c r="N93" s="7" t="s">
        <v>2434</v>
      </c>
      <c r="O93" s="7" t="s">
        <v>2454</v>
      </c>
      <c r="P93" s="7" t="s">
        <v>2455</v>
      </c>
      <c r="Q93" s="7" t="s">
        <v>2482</v>
      </c>
      <c r="R93" s="7"/>
      <c r="S93" s="7" t="s">
        <v>569</v>
      </c>
      <c r="T93" s="7" t="s">
        <v>568</v>
      </c>
      <c r="U93" s="7" t="s">
        <v>2438</v>
      </c>
      <c r="V93" s="7" t="s">
        <v>2439</v>
      </c>
      <c r="W93" s="7" t="s">
        <v>2440</v>
      </c>
      <c r="X93" s="7" t="s">
        <v>2441</v>
      </c>
      <c r="Y93" s="7" t="s">
        <v>2484</v>
      </c>
      <c r="Z93" s="7" t="s">
        <v>2442</v>
      </c>
    </row>
    <row r="94" customFormat="false" ht="158.2" hidden="false" customHeight="false" outlineLevel="0" collapsed="false">
      <c r="A94" s="7" t="s">
        <v>1369</v>
      </c>
      <c r="B94" s="7" t="s">
        <v>97</v>
      </c>
      <c r="C94" s="7" t="s">
        <v>1349</v>
      </c>
      <c r="D94" s="7" t="s">
        <v>1365</v>
      </c>
      <c r="E94" s="7" t="s">
        <v>1366</v>
      </c>
      <c r="F94" s="7" t="s">
        <v>552</v>
      </c>
      <c r="G94" s="7" t="s">
        <v>1367</v>
      </c>
      <c r="H94" s="7" t="s">
        <v>1368</v>
      </c>
      <c r="I94" s="8" t="n">
        <v>0.7</v>
      </c>
      <c r="J94" s="7" t="s">
        <v>598</v>
      </c>
      <c r="K94" s="7" t="s">
        <v>2489</v>
      </c>
      <c r="L94" s="7" t="s">
        <v>2490</v>
      </c>
      <c r="M94" s="7" t="s">
        <v>2433</v>
      </c>
      <c r="N94" s="7" t="s">
        <v>2434</v>
      </c>
      <c r="O94" s="7" t="s">
        <v>2491</v>
      </c>
      <c r="P94" s="7" t="s">
        <v>2492</v>
      </c>
      <c r="Q94" s="7" t="s">
        <v>2482</v>
      </c>
      <c r="R94" s="7"/>
      <c r="S94" s="7" t="s">
        <v>569</v>
      </c>
      <c r="T94" s="7" t="s">
        <v>568</v>
      </c>
      <c r="U94" s="7" t="s">
        <v>2438</v>
      </c>
      <c r="V94" s="7" t="s">
        <v>2439</v>
      </c>
      <c r="W94" s="7" t="s">
        <v>2440</v>
      </c>
      <c r="X94" s="7" t="s">
        <v>2441</v>
      </c>
      <c r="Y94" s="7" t="s">
        <v>2484</v>
      </c>
      <c r="Z94" s="7" t="s">
        <v>2442</v>
      </c>
    </row>
    <row r="95" customFormat="false" ht="158.2" hidden="false" customHeight="false" outlineLevel="0" collapsed="false">
      <c r="A95" s="7" t="s">
        <v>1375</v>
      </c>
      <c r="B95" s="7" t="s">
        <v>97</v>
      </c>
      <c r="C95" s="7" t="s">
        <v>1349</v>
      </c>
      <c r="D95" s="7" t="s">
        <v>1371</v>
      </c>
      <c r="E95" s="7" t="s">
        <v>1372</v>
      </c>
      <c r="F95" s="7" t="s">
        <v>552</v>
      </c>
      <c r="G95" s="7" t="s">
        <v>1373</v>
      </c>
      <c r="H95" s="7" t="s">
        <v>1374</v>
      </c>
      <c r="I95" s="8" t="n">
        <v>0.1</v>
      </c>
      <c r="J95" s="7" t="s">
        <v>598</v>
      </c>
      <c r="K95" s="7" t="s">
        <v>2489</v>
      </c>
      <c r="L95" s="7" t="s">
        <v>2490</v>
      </c>
      <c r="M95" s="7" t="s">
        <v>2433</v>
      </c>
      <c r="N95" s="7" t="s">
        <v>2434</v>
      </c>
      <c r="O95" s="7" t="s">
        <v>2491</v>
      </c>
      <c r="P95" s="7" t="s">
        <v>2492</v>
      </c>
      <c r="Q95" s="7" t="s">
        <v>2482</v>
      </c>
      <c r="R95" s="7"/>
      <c r="S95" s="7" t="s">
        <v>557</v>
      </c>
      <c r="T95" s="7" t="s">
        <v>556</v>
      </c>
      <c r="U95" s="7" t="s">
        <v>2438</v>
      </c>
      <c r="V95" s="7" t="s">
        <v>2439</v>
      </c>
      <c r="W95" s="7" t="s">
        <v>2440</v>
      </c>
      <c r="X95" s="7" t="s">
        <v>2441</v>
      </c>
      <c r="Y95" s="7" t="s">
        <v>2484</v>
      </c>
      <c r="Z95" s="7" t="s">
        <v>2442</v>
      </c>
    </row>
    <row r="96" customFormat="false" ht="158.2" hidden="false" customHeight="false" outlineLevel="0" collapsed="false">
      <c r="A96" s="7" t="s">
        <v>1380</v>
      </c>
      <c r="B96" s="7" t="s">
        <v>97</v>
      </c>
      <c r="C96" s="7" t="s">
        <v>1349</v>
      </c>
      <c r="D96" s="7" t="s">
        <v>1376</v>
      </c>
      <c r="E96" s="7" t="s">
        <v>1377</v>
      </c>
      <c r="F96" s="7" t="s">
        <v>552</v>
      </c>
      <c r="G96" s="7" t="s">
        <v>1378</v>
      </c>
      <c r="H96" s="7" t="s">
        <v>1379</v>
      </c>
      <c r="I96" s="8" t="n">
        <v>0.3</v>
      </c>
      <c r="J96" s="7" t="s">
        <v>250</v>
      </c>
      <c r="K96" s="7" t="s">
        <v>2452</v>
      </c>
      <c r="L96" s="7" t="s">
        <v>2453</v>
      </c>
      <c r="M96" s="7" t="s">
        <v>2433</v>
      </c>
      <c r="N96" s="7" t="s">
        <v>2434</v>
      </c>
      <c r="O96" s="7" t="s">
        <v>2454</v>
      </c>
      <c r="P96" s="7" t="s">
        <v>2455</v>
      </c>
      <c r="Q96" s="7" t="s">
        <v>2482</v>
      </c>
      <c r="R96" s="7" t="s">
        <v>2508</v>
      </c>
      <c r="S96" s="7" t="s">
        <v>569</v>
      </c>
      <c r="T96" s="7" t="s">
        <v>568</v>
      </c>
      <c r="U96" s="7" t="s">
        <v>2438</v>
      </c>
      <c r="V96" s="7" t="s">
        <v>2439</v>
      </c>
      <c r="W96" s="7" t="s">
        <v>2440</v>
      </c>
      <c r="X96" s="7" t="s">
        <v>2441</v>
      </c>
      <c r="Y96" s="7" t="s">
        <v>2484</v>
      </c>
      <c r="Z96" s="7" t="s">
        <v>2442</v>
      </c>
    </row>
    <row r="97" customFormat="false" ht="158.2" hidden="false" customHeight="false" outlineLevel="0" collapsed="false">
      <c r="A97" s="7" t="s">
        <v>1385</v>
      </c>
      <c r="B97" s="7" t="s">
        <v>97</v>
      </c>
      <c r="C97" s="7" t="s">
        <v>1349</v>
      </c>
      <c r="D97" s="7" t="s">
        <v>1381</v>
      </c>
      <c r="E97" s="7" t="s">
        <v>1382</v>
      </c>
      <c r="F97" s="7" t="s">
        <v>552</v>
      </c>
      <c r="G97" s="7" t="s">
        <v>1383</v>
      </c>
      <c r="H97" s="7" t="s">
        <v>1384</v>
      </c>
      <c r="I97" s="8" t="n">
        <v>1</v>
      </c>
      <c r="J97" s="7" t="s">
        <v>523</v>
      </c>
      <c r="K97" s="7" t="s">
        <v>2468</v>
      </c>
      <c r="L97" s="7" t="s">
        <v>2469</v>
      </c>
      <c r="M97" s="7" t="s">
        <v>2433</v>
      </c>
      <c r="N97" s="7" t="s">
        <v>2434</v>
      </c>
      <c r="O97" s="7" t="s">
        <v>2470</v>
      </c>
      <c r="P97" s="7" t="s">
        <v>2471</v>
      </c>
      <c r="Q97" s="7" t="s">
        <v>2482</v>
      </c>
      <c r="R97" s="7"/>
      <c r="S97" s="7" t="s">
        <v>557</v>
      </c>
      <c r="T97" s="7" t="s">
        <v>556</v>
      </c>
      <c r="U97" s="7" t="s">
        <v>2438</v>
      </c>
      <c r="V97" s="7" t="s">
        <v>2439</v>
      </c>
      <c r="W97" s="7" t="s">
        <v>2440</v>
      </c>
      <c r="X97" s="7" t="s">
        <v>2441</v>
      </c>
      <c r="Y97" s="7" t="s">
        <v>2484</v>
      </c>
      <c r="Z97" s="7" t="s">
        <v>2442</v>
      </c>
    </row>
    <row r="98" customFormat="false" ht="158.2" hidden="false" customHeight="false" outlineLevel="0" collapsed="false">
      <c r="A98" s="7" t="s">
        <v>1391</v>
      </c>
      <c r="B98" s="7" t="s">
        <v>97</v>
      </c>
      <c r="C98" s="7" t="s">
        <v>1349</v>
      </c>
      <c r="D98" s="7" t="s">
        <v>1387</v>
      </c>
      <c r="E98" s="7" t="s">
        <v>1388</v>
      </c>
      <c r="F98" s="7" t="s">
        <v>552</v>
      </c>
      <c r="G98" s="7" t="s">
        <v>1389</v>
      </c>
      <c r="H98" s="7" t="s">
        <v>1390</v>
      </c>
      <c r="I98" s="8" t="n">
        <v>0.7</v>
      </c>
      <c r="J98" s="7" t="s">
        <v>250</v>
      </c>
      <c r="K98" s="7" t="s">
        <v>2452</v>
      </c>
      <c r="L98" s="7" t="s">
        <v>2453</v>
      </c>
      <c r="M98" s="7" t="s">
        <v>2433</v>
      </c>
      <c r="N98" s="7" t="s">
        <v>2434</v>
      </c>
      <c r="O98" s="7" t="s">
        <v>2454</v>
      </c>
      <c r="P98" s="7" t="s">
        <v>2455</v>
      </c>
      <c r="Q98" s="7" t="s">
        <v>2482</v>
      </c>
      <c r="R98" s="7"/>
      <c r="S98" s="7" t="s">
        <v>557</v>
      </c>
      <c r="T98" s="7" t="s">
        <v>556</v>
      </c>
      <c r="U98" s="7" t="s">
        <v>2438</v>
      </c>
      <c r="V98" s="7" t="s">
        <v>2439</v>
      </c>
      <c r="W98" s="7" t="s">
        <v>2440</v>
      </c>
      <c r="X98" s="7" t="s">
        <v>2441</v>
      </c>
      <c r="Y98" s="7" t="s">
        <v>2484</v>
      </c>
      <c r="Z98" s="7" t="s">
        <v>2442</v>
      </c>
    </row>
    <row r="99" customFormat="false" ht="158.2" hidden="false" customHeight="false" outlineLevel="0" collapsed="false">
      <c r="A99" s="7" t="s">
        <v>1396</v>
      </c>
      <c r="B99" s="7" t="s">
        <v>97</v>
      </c>
      <c r="C99" s="7" t="s">
        <v>1349</v>
      </c>
      <c r="D99" s="7" t="s">
        <v>1392</v>
      </c>
      <c r="E99" s="7" t="s">
        <v>1393</v>
      </c>
      <c r="F99" s="7" t="s">
        <v>552</v>
      </c>
      <c r="G99" s="7" t="s">
        <v>1394</v>
      </c>
      <c r="H99" s="7" t="s">
        <v>1395</v>
      </c>
      <c r="I99" s="8" t="n">
        <v>0.4</v>
      </c>
      <c r="J99" s="7" t="s">
        <v>627</v>
      </c>
      <c r="K99" s="7" t="s">
        <v>2495</v>
      </c>
      <c r="L99" s="7" t="s">
        <v>2496</v>
      </c>
      <c r="M99" s="7" t="s">
        <v>2433</v>
      </c>
      <c r="N99" s="7" t="s">
        <v>2434</v>
      </c>
      <c r="O99" s="7" t="s">
        <v>2491</v>
      </c>
      <c r="P99" s="7" t="s">
        <v>2497</v>
      </c>
      <c r="Q99" s="7" t="s">
        <v>2482</v>
      </c>
      <c r="R99" s="7"/>
      <c r="S99" s="7" t="s">
        <v>557</v>
      </c>
      <c r="T99" s="7" t="s">
        <v>556</v>
      </c>
      <c r="U99" s="7" t="s">
        <v>2438</v>
      </c>
      <c r="V99" s="7" t="s">
        <v>2439</v>
      </c>
      <c r="W99" s="7" t="s">
        <v>2440</v>
      </c>
      <c r="X99" s="7" t="s">
        <v>2441</v>
      </c>
      <c r="Y99" s="7" t="s">
        <v>2484</v>
      </c>
      <c r="Z99" s="7" t="s">
        <v>2442</v>
      </c>
    </row>
    <row r="100" customFormat="false" ht="158.2" hidden="false" customHeight="false" outlineLevel="0" collapsed="false">
      <c r="A100" s="7" t="s">
        <v>1401</v>
      </c>
      <c r="B100" s="7" t="s">
        <v>97</v>
      </c>
      <c r="C100" s="7" t="s">
        <v>1349</v>
      </c>
      <c r="D100" s="7" t="s">
        <v>1397</v>
      </c>
      <c r="E100" s="7" t="s">
        <v>1398</v>
      </c>
      <c r="F100" s="7" t="s">
        <v>552</v>
      </c>
      <c r="G100" s="7" t="s">
        <v>1399</v>
      </c>
      <c r="H100" s="7" t="s">
        <v>1400</v>
      </c>
      <c r="I100" s="8" t="n">
        <v>0.8</v>
      </c>
      <c r="J100" s="7" t="s">
        <v>627</v>
      </c>
      <c r="K100" s="7" t="s">
        <v>2495</v>
      </c>
      <c r="L100" s="7" t="s">
        <v>2496</v>
      </c>
      <c r="M100" s="7" t="s">
        <v>2433</v>
      </c>
      <c r="N100" s="7" t="s">
        <v>2434</v>
      </c>
      <c r="O100" s="7" t="s">
        <v>2491</v>
      </c>
      <c r="P100" s="7" t="s">
        <v>2497</v>
      </c>
      <c r="Q100" s="7" t="s">
        <v>2482</v>
      </c>
      <c r="R100" s="7"/>
      <c r="S100" s="7" t="s">
        <v>557</v>
      </c>
      <c r="T100" s="7" t="s">
        <v>556</v>
      </c>
      <c r="U100" s="7" t="s">
        <v>2438</v>
      </c>
      <c r="V100" s="7" t="s">
        <v>2439</v>
      </c>
      <c r="W100" s="7" t="s">
        <v>2440</v>
      </c>
      <c r="X100" s="7" t="s">
        <v>2441</v>
      </c>
      <c r="Y100" s="7" t="s">
        <v>2484</v>
      </c>
      <c r="Z100" s="7" t="s">
        <v>2442</v>
      </c>
    </row>
    <row r="101" customFormat="false" ht="158.2" hidden="false" customHeight="false" outlineLevel="0" collapsed="false">
      <c r="A101" s="7" t="s">
        <v>1406</v>
      </c>
      <c r="B101" s="7" t="s">
        <v>97</v>
      </c>
      <c r="C101" s="7" t="s">
        <v>1349</v>
      </c>
      <c r="D101" s="7" t="s">
        <v>1402</v>
      </c>
      <c r="E101" s="7" t="s">
        <v>1403</v>
      </c>
      <c r="F101" s="7" t="s">
        <v>552</v>
      </c>
      <c r="G101" s="7" t="s">
        <v>1404</v>
      </c>
      <c r="H101" s="7" t="s">
        <v>1405</v>
      </c>
      <c r="I101" s="8" t="n">
        <v>0.7</v>
      </c>
      <c r="J101" s="7" t="s">
        <v>523</v>
      </c>
      <c r="K101" s="7" t="s">
        <v>2468</v>
      </c>
      <c r="L101" s="7" t="s">
        <v>2469</v>
      </c>
      <c r="M101" s="7" t="s">
        <v>2433</v>
      </c>
      <c r="N101" s="7" t="s">
        <v>2434</v>
      </c>
      <c r="O101" s="7" t="s">
        <v>2470</v>
      </c>
      <c r="P101" s="7" t="s">
        <v>2471</v>
      </c>
      <c r="Q101" s="7" t="s">
        <v>2482</v>
      </c>
      <c r="R101" s="7"/>
      <c r="S101" s="7" t="s">
        <v>557</v>
      </c>
      <c r="T101" s="7" t="s">
        <v>556</v>
      </c>
      <c r="U101" s="7" t="s">
        <v>2438</v>
      </c>
      <c r="V101" s="7" t="s">
        <v>2439</v>
      </c>
      <c r="W101" s="7" t="s">
        <v>2440</v>
      </c>
      <c r="X101" s="7" t="s">
        <v>2441</v>
      </c>
      <c r="Y101" s="7" t="s">
        <v>2484</v>
      </c>
      <c r="Z101" s="7" t="s">
        <v>2442</v>
      </c>
    </row>
    <row r="102" customFormat="false" ht="158.2" hidden="false" customHeight="false" outlineLevel="0" collapsed="false">
      <c r="A102" s="7" t="s">
        <v>1411</v>
      </c>
      <c r="B102" s="7" t="s">
        <v>97</v>
      </c>
      <c r="C102" s="7" t="s">
        <v>1349</v>
      </c>
      <c r="D102" s="7" t="s">
        <v>1407</v>
      </c>
      <c r="E102" s="7" t="s">
        <v>1408</v>
      </c>
      <c r="F102" s="7" t="s">
        <v>552</v>
      </c>
      <c r="G102" s="7" t="s">
        <v>1409</v>
      </c>
      <c r="H102" s="7" t="s">
        <v>1410</v>
      </c>
      <c r="I102" s="8" t="n">
        <v>0.7</v>
      </c>
      <c r="J102" s="7" t="s">
        <v>523</v>
      </c>
      <c r="K102" s="7" t="s">
        <v>2468</v>
      </c>
      <c r="L102" s="7" t="s">
        <v>2469</v>
      </c>
      <c r="M102" s="7" t="s">
        <v>2433</v>
      </c>
      <c r="N102" s="7" t="s">
        <v>2434</v>
      </c>
      <c r="O102" s="7" t="s">
        <v>2470</v>
      </c>
      <c r="P102" s="7" t="s">
        <v>2471</v>
      </c>
      <c r="Q102" s="7" t="s">
        <v>2482</v>
      </c>
      <c r="R102" s="7"/>
      <c r="S102" s="7" t="s">
        <v>557</v>
      </c>
      <c r="T102" s="7" t="s">
        <v>556</v>
      </c>
      <c r="U102" s="7" t="s">
        <v>2438</v>
      </c>
      <c r="V102" s="7" t="s">
        <v>2439</v>
      </c>
      <c r="W102" s="7" t="s">
        <v>2440</v>
      </c>
      <c r="X102" s="7" t="s">
        <v>2441</v>
      </c>
      <c r="Y102" s="7" t="s">
        <v>2484</v>
      </c>
      <c r="Z102" s="7" t="s">
        <v>2442</v>
      </c>
    </row>
    <row r="103" customFormat="false" ht="158.2" hidden="false" customHeight="false" outlineLevel="0" collapsed="false">
      <c r="A103" s="7" t="s">
        <v>1416</v>
      </c>
      <c r="B103" s="7" t="s">
        <v>97</v>
      </c>
      <c r="C103" s="7" t="s">
        <v>1349</v>
      </c>
      <c r="D103" s="7" t="s">
        <v>1412</v>
      </c>
      <c r="E103" s="7" t="s">
        <v>1413</v>
      </c>
      <c r="F103" s="7" t="s">
        <v>552</v>
      </c>
      <c r="G103" s="7" t="s">
        <v>1414</v>
      </c>
      <c r="H103" s="7" t="s">
        <v>1415</v>
      </c>
      <c r="I103" s="8" t="n">
        <v>0.8</v>
      </c>
      <c r="J103" s="7" t="s">
        <v>250</v>
      </c>
      <c r="K103" s="7" t="s">
        <v>2452</v>
      </c>
      <c r="L103" s="7" t="s">
        <v>2453</v>
      </c>
      <c r="M103" s="7" t="s">
        <v>2433</v>
      </c>
      <c r="N103" s="7" t="s">
        <v>2434</v>
      </c>
      <c r="O103" s="7" t="s">
        <v>2454</v>
      </c>
      <c r="P103" s="7" t="s">
        <v>2455</v>
      </c>
      <c r="Q103" s="7" t="s">
        <v>2482</v>
      </c>
      <c r="R103" s="7"/>
      <c r="S103" s="7" t="s">
        <v>557</v>
      </c>
      <c r="T103" s="7" t="s">
        <v>556</v>
      </c>
      <c r="U103" s="7" t="s">
        <v>2438</v>
      </c>
      <c r="V103" s="7" t="s">
        <v>2439</v>
      </c>
      <c r="W103" s="7" t="s">
        <v>2440</v>
      </c>
      <c r="X103" s="7" t="s">
        <v>2441</v>
      </c>
      <c r="Y103" s="7" t="s">
        <v>2484</v>
      </c>
      <c r="Z103" s="7" t="s">
        <v>2442</v>
      </c>
    </row>
    <row r="104" customFormat="false" ht="158.2" hidden="false" customHeight="false" outlineLevel="0" collapsed="false">
      <c r="A104" s="7" t="s">
        <v>1422</v>
      </c>
      <c r="B104" s="7" t="s">
        <v>97</v>
      </c>
      <c r="C104" s="7" t="s">
        <v>1349</v>
      </c>
      <c r="D104" s="7" t="s">
        <v>1418</v>
      </c>
      <c r="E104" s="7" t="s">
        <v>1419</v>
      </c>
      <c r="F104" s="7" t="s">
        <v>552</v>
      </c>
      <c r="G104" s="7" t="s">
        <v>1420</v>
      </c>
      <c r="H104" s="7" t="s">
        <v>1421</v>
      </c>
      <c r="I104" s="8" t="n">
        <v>0.7</v>
      </c>
      <c r="J104" s="7" t="s">
        <v>250</v>
      </c>
      <c r="K104" s="7" t="s">
        <v>2452</v>
      </c>
      <c r="L104" s="7" t="s">
        <v>2453</v>
      </c>
      <c r="M104" s="7" t="s">
        <v>2433</v>
      </c>
      <c r="N104" s="7" t="s">
        <v>2434</v>
      </c>
      <c r="O104" s="7" t="s">
        <v>2454</v>
      </c>
      <c r="P104" s="7" t="s">
        <v>2455</v>
      </c>
      <c r="Q104" s="7" t="s">
        <v>2482</v>
      </c>
      <c r="R104" s="7" t="s">
        <v>2509</v>
      </c>
      <c r="S104" s="7" t="s">
        <v>557</v>
      </c>
      <c r="T104" s="7" t="s">
        <v>556</v>
      </c>
      <c r="U104" s="7" t="s">
        <v>2438</v>
      </c>
      <c r="V104" s="7" t="s">
        <v>2439</v>
      </c>
      <c r="W104" s="7" t="s">
        <v>2440</v>
      </c>
      <c r="X104" s="7" t="s">
        <v>2441</v>
      </c>
      <c r="Y104" s="7" t="s">
        <v>2484</v>
      </c>
      <c r="Z104" s="7" t="s">
        <v>2442</v>
      </c>
    </row>
    <row r="105" customFormat="false" ht="158.2" hidden="false" customHeight="false" outlineLevel="0" collapsed="false">
      <c r="A105" s="7" t="s">
        <v>1427</v>
      </c>
      <c r="B105" s="7" t="s">
        <v>97</v>
      </c>
      <c r="C105" s="7" t="s">
        <v>1349</v>
      </c>
      <c r="D105" s="7" t="s">
        <v>1423</v>
      </c>
      <c r="E105" s="7" t="s">
        <v>1424</v>
      </c>
      <c r="F105" s="7" t="s">
        <v>564</v>
      </c>
      <c r="G105" s="7" t="s">
        <v>1425</v>
      </c>
      <c r="H105" s="7" t="s">
        <v>1426</v>
      </c>
      <c r="I105" s="8" t="n">
        <v>1</v>
      </c>
      <c r="J105" s="7" t="s">
        <v>347</v>
      </c>
      <c r="K105" s="7" t="s">
        <v>2458</v>
      </c>
      <c r="L105" s="7" t="s">
        <v>2459</v>
      </c>
      <c r="M105" s="7" t="s">
        <v>2433</v>
      </c>
      <c r="N105" s="7" t="s">
        <v>2434</v>
      </c>
      <c r="O105" s="7" t="s">
        <v>2460</v>
      </c>
      <c r="P105" s="7" t="s">
        <v>2461</v>
      </c>
      <c r="Q105" s="7" t="s">
        <v>2485</v>
      </c>
      <c r="R105" s="7"/>
      <c r="S105" s="7" t="s">
        <v>569</v>
      </c>
      <c r="T105" s="7" t="s">
        <v>568</v>
      </c>
      <c r="U105" s="7" t="s">
        <v>2438</v>
      </c>
      <c r="V105" s="7" t="s">
        <v>2439</v>
      </c>
      <c r="W105" s="7" t="s">
        <v>2440</v>
      </c>
      <c r="X105" s="7" t="s">
        <v>2441</v>
      </c>
      <c r="Y105" s="7" t="s">
        <v>2484</v>
      </c>
      <c r="Z105" s="7" t="s">
        <v>2442</v>
      </c>
    </row>
    <row r="106" customFormat="false" ht="158.2" hidden="false" customHeight="false" outlineLevel="0" collapsed="false">
      <c r="A106" s="7" t="s">
        <v>1432</v>
      </c>
      <c r="B106" s="7" t="s">
        <v>97</v>
      </c>
      <c r="C106" s="7" t="s">
        <v>1349</v>
      </c>
      <c r="D106" s="7" t="s">
        <v>1428</v>
      </c>
      <c r="E106" s="7" t="s">
        <v>1429</v>
      </c>
      <c r="F106" s="7" t="s">
        <v>564</v>
      </c>
      <c r="G106" s="7" t="s">
        <v>1430</v>
      </c>
      <c r="H106" s="7" t="s">
        <v>1431</v>
      </c>
      <c r="I106" s="8" t="n">
        <v>0.8</v>
      </c>
      <c r="J106" s="7" t="s">
        <v>367</v>
      </c>
      <c r="K106" s="7" t="s">
        <v>2463</v>
      </c>
      <c r="L106" s="7" t="s">
        <v>2464</v>
      </c>
      <c r="M106" s="7" t="s">
        <v>2433</v>
      </c>
      <c r="N106" s="7" t="s">
        <v>2434</v>
      </c>
      <c r="O106" s="7" t="s">
        <v>2465</v>
      </c>
      <c r="P106" s="7" t="s">
        <v>2466</v>
      </c>
      <c r="Q106" s="7" t="s">
        <v>2485</v>
      </c>
      <c r="R106" s="7" t="s">
        <v>2510</v>
      </c>
      <c r="S106" s="7" t="s">
        <v>569</v>
      </c>
      <c r="T106" s="7" t="s">
        <v>568</v>
      </c>
      <c r="U106" s="7" t="s">
        <v>2438</v>
      </c>
      <c r="V106" s="7" t="s">
        <v>2439</v>
      </c>
      <c r="W106" s="7" t="s">
        <v>2440</v>
      </c>
      <c r="X106" s="7" t="s">
        <v>2441</v>
      </c>
      <c r="Y106" s="7" t="s">
        <v>2484</v>
      </c>
      <c r="Z106" s="7" t="s">
        <v>2442</v>
      </c>
    </row>
    <row r="107" customFormat="false" ht="158.2" hidden="false" customHeight="false" outlineLevel="0" collapsed="false">
      <c r="A107" s="7" t="s">
        <v>1437</v>
      </c>
      <c r="B107" s="7" t="s">
        <v>97</v>
      </c>
      <c r="C107" s="7" t="s">
        <v>1349</v>
      </c>
      <c r="D107" s="7" t="s">
        <v>1433</v>
      </c>
      <c r="E107" s="7" t="s">
        <v>1434</v>
      </c>
      <c r="F107" s="7" t="s">
        <v>564</v>
      </c>
      <c r="G107" s="7" t="s">
        <v>1435</v>
      </c>
      <c r="H107" s="7" t="s">
        <v>1436</v>
      </c>
      <c r="I107" s="8" t="n">
        <v>0.5</v>
      </c>
      <c r="J107" s="7" t="s">
        <v>347</v>
      </c>
      <c r="K107" s="7" t="s">
        <v>2458</v>
      </c>
      <c r="L107" s="7" t="s">
        <v>2459</v>
      </c>
      <c r="M107" s="7" t="s">
        <v>2433</v>
      </c>
      <c r="N107" s="7" t="s">
        <v>2434</v>
      </c>
      <c r="O107" s="7" t="s">
        <v>2460</v>
      </c>
      <c r="P107" s="7" t="s">
        <v>2461</v>
      </c>
      <c r="Q107" s="7" t="s">
        <v>2485</v>
      </c>
      <c r="R107" s="7" t="s">
        <v>2511</v>
      </c>
      <c r="S107" s="7" t="s">
        <v>569</v>
      </c>
      <c r="T107" s="7" t="s">
        <v>568</v>
      </c>
      <c r="U107" s="7" t="s">
        <v>2438</v>
      </c>
      <c r="V107" s="7" t="s">
        <v>2439</v>
      </c>
      <c r="W107" s="7" t="s">
        <v>2440</v>
      </c>
      <c r="X107" s="7" t="s">
        <v>2441</v>
      </c>
      <c r="Y107" s="7" t="s">
        <v>2484</v>
      </c>
      <c r="Z107" s="7" t="s">
        <v>2442</v>
      </c>
    </row>
    <row r="108" customFormat="false" ht="158.2" hidden="false" customHeight="false" outlineLevel="0" collapsed="false">
      <c r="A108" s="7" t="s">
        <v>1442</v>
      </c>
      <c r="B108" s="7" t="s">
        <v>97</v>
      </c>
      <c r="C108" s="7" t="s">
        <v>1349</v>
      </c>
      <c r="D108" s="7" t="s">
        <v>1438</v>
      </c>
      <c r="E108" s="7" t="s">
        <v>1439</v>
      </c>
      <c r="F108" s="7" t="s">
        <v>564</v>
      </c>
      <c r="G108" s="7" t="s">
        <v>1440</v>
      </c>
      <c r="H108" s="7" t="s">
        <v>1441</v>
      </c>
      <c r="I108" s="8" t="n">
        <v>1.4</v>
      </c>
      <c r="J108" s="7" t="s">
        <v>347</v>
      </c>
      <c r="K108" s="7" t="s">
        <v>2458</v>
      </c>
      <c r="L108" s="7" t="s">
        <v>2459</v>
      </c>
      <c r="M108" s="7" t="s">
        <v>2433</v>
      </c>
      <c r="N108" s="7" t="s">
        <v>2434</v>
      </c>
      <c r="O108" s="7" t="s">
        <v>2460</v>
      </c>
      <c r="P108" s="7" t="s">
        <v>2461</v>
      </c>
      <c r="Q108" s="7" t="s">
        <v>2485</v>
      </c>
      <c r="R108" s="7"/>
      <c r="S108" s="7" t="s">
        <v>569</v>
      </c>
      <c r="T108" s="7" t="s">
        <v>568</v>
      </c>
      <c r="U108" s="7" t="s">
        <v>2438</v>
      </c>
      <c r="V108" s="7" t="s">
        <v>2439</v>
      </c>
      <c r="W108" s="7" t="s">
        <v>2440</v>
      </c>
      <c r="X108" s="7" t="s">
        <v>2441</v>
      </c>
      <c r="Y108" s="7" t="s">
        <v>2484</v>
      </c>
      <c r="Z108" s="7" t="s">
        <v>2442</v>
      </c>
    </row>
    <row r="109" customFormat="false" ht="158.2" hidden="false" customHeight="false" outlineLevel="0" collapsed="false">
      <c r="A109" s="7" t="s">
        <v>1447</v>
      </c>
      <c r="B109" s="7" t="s">
        <v>97</v>
      </c>
      <c r="C109" s="7" t="s">
        <v>1349</v>
      </c>
      <c r="D109" s="7" t="s">
        <v>1444</v>
      </c>
      <c r="E109" s="7" t="s">
        <v>1445</v>
      </c>
      <c r="F109" s="7" t="s">
        <v>564</v>
      </c>
      <c r="G109" s="7" t="s">
        <v>1446</v>
      </c>
      <c r="H109" s="7" t="s">
        <v>1262</v>
      </c>
      <c r="I109" s="8" t="n">
        <v>1.5</v>
      </c>
      <c r="J109" s="7" t="s">
        <v>627</v>
      </c>
      <c r="K109" s="7" t="s">
        <v>2495</v>
      </c>
      <c r="L109" s="7" t="s">
        <v>2496</v>
      </c>
      <c r="M109" s="7" t="s">
        <v>2433</v>
      </c>
      <c r="N109" s="7" t="s">
        <v>2434</v>
      </c>
      <c r="O109" s="7" t="s">
        <v>2491</v>
      </c>
      <c r="P109" s="7" t="s">
        <v>2497</v>
      </c>
      <c r="Q109" s="7" t="s">
        <v>2485</v>
      </c>
      <c r="R109" s="7"/>
      <c r="S109" s="7"/>
      <c r="T109" s="7" t="s">
        <v>1065</v>
      </c>
      <c r="U109" s="7" t="s">
        <v>2438</v>
      </c>
      <c r="V109" s="7" t="s">
        <v>2439</v>
      </c>
      <c r="W109" s="7" t="s">
        <v>2440</v>
      </c>
      <c r="X109" s="7" t="s">
        <v>2441</v>
      </c>
      <c r="Y109" s="7" t="s">
        <v>2484</v>
      </c>
      <c r="Z109" s="7" t="s">
        <v>2442</v>
      </c>
    </row>
    <row r="110" customFormat="false" ht="158.2" hidden="false" customHeight="false" outlineLevel="0" collapsed="false">
      <c r="A110" s="7" t="s">
        <v>1453</v>
      </c>
      <c r="B110" s="7" t="s">
        <v>97</v>
      </c>
      <c r="C110" s="7" t="s">
        <v>1349</v>
      </c>
      <c r="D110" s="7" t="s">
        <v>1449</v>
      </c>
      <c r="E110" s="7" t="s">
        <v>1450</v>
      </c>
      <c r="F110" s="7" t="s">
        <v>564</v>
      </c>
      <c r="G110" s="7" t="s">
        <v>1451</v>
      </c>
      <c r="H110" s="7" t="s">
        <v>1452</v>
      </c>
      <c r="I110" s="8" t="n">
        <v>0</v>
      </c>
      <c r="J110" s="7" t="s">
        <v>627</v>
      </c>
      <c r="K110" s="7" t="s">
        <v>2495</v>
      </c>
      <c r="L110" s="7" t="s">
        <v>2496</v>
      </c>
      <c r="M110" s="7" t="s">
        <v>2433</v>
      </c>
      <c r="N110" s="7" t="s">
        <v>2434</v>
      </c>
      <c r="O110" s="7" t="s">
        <v>2491</v>
      </c>
      <c r="P110" s="7" t="s">
        <v>2497</v>
      </c>
      <c r="Q110" s="7" t="s">
        <v>2485</v>
      </c>
      <c r="R110" s="7" t="s">
        <v>2512</v>
      </c>
      <c r="S110" s="7" t="s">
        <v>569</v>
      </c>
      <c r="T110" s="7" t="s">
        <v>568</v>
      </c>
      <c r="U110" s="7" t="s">
        <v>2438</v>
      </c>
      <c r="V110" s="7" t="s">
        <v>2439</v>
      </c>
      <c r="W110" s="7" t="s">
        <v>2440</v>
      </c>
      <c r="X110" s="7" t="s">
        <v>2441</v>
      </c>
      <c r="Y110" s="7" t="s">
        <v>2484</v>
      </c>
      <c r="Z110" s="7" t="s">
        <v>2442</v>
      </c>
    </row>
    <row r="111" customFormat="false" ht="158.2" hidden="false" customHeight="false" outlineLevel="0" collapsed="false">
      <c r="A111" s="7" t="s">
        <v>1459</v>
      </c>
      <c r="B111" s="7" t="s">
        <v>97</v>
      </c>
      <c r="C111" s="7" t="s">
        <v>1349</v>
      </c>
      <c r="D111" s="7" t="s">
        <v>1455</v>
      </c>
      <c r="E111" s="7" t="s">
        <v>1456</v>
      </c>
      <c r="F111" s="7" t="s">
        <v>564</v>
      </c>
      <c r="G111" s="7" t="s">
        <v>1457</v>
      </c>
      <c r="H111" s="7" t="s">
        <v>1458</v>
      </c>
      <c r="I111" s="8" t="n">
        <v>0.1</v>
      </c>
      <c r="J111" s="7" t="s">
        <v>598</v>
      </c>
      <c r="K111" s="7" t="s">
        <v>2489</v>
      </c>
      <c r="L111" s="7" t="s">
        <v>2490</v>
      </c>
      <c r="M111" s="7" t="s">
        <v>2433</v>
      </c>
      <c r="N111" s="7" t="s">
        <v>2434</v>
      </c>
      <c r="O111" s="7" t="s">
        <v>2491</v>
      </c>
      <c r="P111" s="7" t="s">
        <v>2492</v>
      </c>
      <c r="Q111" s="7" t="s">
        <v>2485</v>
      </c>
      <c r="R111" s="7"/>
      <c r="S111" s="7" t="s">
        <v>557</v>
      </c>
      <c r="T111" s="7" t="s">
        <v>556</v>
      </c>
      <c r="U111" s="7" t="s">
        <v>2438</v>
      </c>
      <c r="V111" s="7" t="s">
        <v>2439</v>
      </c>
      <c r="W111" s="7" t="s">
        <v>2440</v>
      </c>
      <c r="X111" s="7" t="s">
        <v>2441</v>
      </c>
      <c r="Y111" s="7" t="s">
        <v>2484</v>
      </c>
      <c r="Z111" s="7" t="s">
        <v>2442</v>
      </c>
    </row>
    <row r="112" customFormat="false" ht="158.2" hidden="false" customHeight="false" outlineLevel="0" collapsed="false">
      <c r="A112" s="7" t="s">
        <v>1464</v>
      </c>
      <c r="B112" s="7" t="s">
        <v>97</v>
      </c>
      <c r="C112" s="7" t="s">
        <v>1349</v>
      </c>
      <c r="D112" s="7" t="s">
        <v>1461</v>
      </c>
      <c r="E112" s="7" t="s">
        <v>579</v>
      </c>
      <c r="F112" s="7" t="s">
        <v>564</v>
      </c>
      <c r="G112" s="7" t="s">
        <v>1462</v>
      </c>
      <c r="H112" s="7" t="s">
        <v>1463</v>
      </c>
      <c r="I112" s="8" t="n">
        <v>1</v>
      </c>
      <c r="J112" s="7" t="s">
        <v>347</v>
      </c>
      <c r="K112" s="7" t="s">
        <v>2458</v>
      </c>
      <c r="L112" s="7" t="s">
        <v>2459</v>
      </c>
      <c r="M112" s="7" t="s">
        <v>2433</v>
      </c>
      <c r="N112" s="7" t="s">
        <v>2434</v>
      </c>
      <c r="O112" s="7" t="s">
        <v>2460</v>
      </c>
      <c r="P112" s="7" t="s">
        <v>2461</v>
      </c>
      <c r="Q112" s="7" t="s">
        <v>2485</v>
      </c>
      <c r="R112" s="7"/>
      <c r="S112" s="7" t="s">
        <v>569</v>
      </c>
      <c r="T112" s="7" t="s">
        <v>568</v>
      </c>
      <c r="U112" s="7" t="s">
        <v>2438</v>
      </c>
      <c r="V112" s="7" t="s">
        <v>2439</v>
      </c>
      <c r="W112" s="7" t="s">
        <v>2440</v>
      </c>
      <c r="X112" s="7" t="s">
        <v>2441</v>
      </c>
      <c r="Y112" s="7" t="s">
        <v>2484</v>
      </c>
      <c r="Z112" s="7" t="s">
        <v>2442</v>
      </c>
    </row>
    <row r="113" customFormat="false" ht="158.2" hidden="false" customHeight="false" outlineLevel="0" collapsed="false">
      <c r="A113" s="7" t="s">
        <v>1469</v>
      </c>
      <c r="B113" s="7" t="s">
        <v>97</v>
      </c>
      <c r="C113" s="7" t="s">
        <v>1349</v>
      </c>
      <c r="D113" s="7" t="s">
        <v>1465</v>
      </c>
      <c r="E113" s="7" t="s">
        <v>1466</v>
      </c>
      <c r="F113" s="7" t="s">
        <v>564</v>
      </c>
      <c r="G113" s="7" t="s">
        <v>1467</v>
      </c>
      <c r="H113" s="7" t="s">
        <v>1468</v>
      </c>
      <c r="I113" s="8" t="n">
        <v>1.5</v>
      </c>
      <c r="J113" s="7" t="s">
        <v>250</v>
      </c>
      <c r="K113" s="7" t="s">
        <v>2452</v>
      </c>
      <c r="L113" s="7" t="s">
        <v>2453</v>
      </c>
      <c r="M113" s="7" t="s">
        <v>2433</v>
      </c>
      <c r="N113" s="7" t="s">
        <v>2434</v>
      </c>
      <c r="O113" s="7" t="s">
        <v>2454</v>
      </c>
      <c r="P113" s="7" t="s">
        <v>2455</v>
      </c>
      <c r="Q113" s="7" t="s">
        <v>2485</v>
      </c>
      <c r="R113" s="7"/>
      <c r="S113" s="7" t="s">
        <v>557</v>
      </c>
      <c r="T113" s="7" t="s">
        <v>556</v>
      </c>
      <c r="U113" s="7" t="s">
        <v>2438</v>
      </c>
      <c r="V113" s="7" t="s">
        <v>2439</v>
      </c>
      <c r="W113" s="7" t="s">
        <v>2440</v>
      </c>
      <c r="X113" s="7" t="s">
        <v>2441</v>
      </c>
      <c r="Y113" s="7" t="s">
        <v>2484</v>
      </c>
      <c r="Z113" s="7" t="s">
        <v>2442</v>
      </c>
    </row>
    <row r="114" customFormat="false" ht="158.2" hidden="false" customHeight="false" outlineLevel="0" collapsed="false">
      <c r="A114" s="7" t="s">
        <v>1474</v>
      </c>
      <c r="B114" s="7" t="s">
        <v>97</v>
      </c>
      <c r="C114" s="7" t="s">
        <v>1349</v>
      </c>
      <c r="D114" s="7" t="s">
        <v>1471</v>
      </c>
      <c r="E114" s="7" t="s">
        <v>703</v>
      </c>
      <c r="F114" s="7" t="s">
        <v>564</v>
      </c>
      <c r="G114" s="7" t="s">
        <v>1472</v>
      </c>
      <c r="H114" s="7" t="s">
        <v>1473</v>
      </c>
      <c r="I114" s="8" t="n">
        <v>1.8</v>
      </c>
      <c r="J114" s="7" t="s">
        <v>347</v>
      </c>
      <c r="K114" s="7" t="s">
        <v>2458</v>
      </c>
      <c r="L114" s="7" t="s">
        <v>2459</v>
      </c>
      <c r="M114" s="7" t="s">
        <v>2433</v>
      </c>
      <c r="N114" s="7" t="s">
        <v>2434</v>
      </c>
      <c r="O114" s="7" t="s">
        <v>2460</v>
      </c>
      <c r="P114" s="7" t="s">
        <v>2461</v>
      </c>
      <c r="Q114" s="7" t="s">
        <v>2485</v>
      </c>
      <c r="R114" s="7"/>
      <c r="S114" s="7" t="s">
        <v>569</v>
      </c>
      <c r="T114" s="7" t="s">
        <v>568</v>
      </c>
      <c r="U114" s="7" t="s">
        <v>2438</v>
      </c>
      <c r="V114" s="7" t="s">
        <v>2439</v>
      </c>
      <c r="W114" s="7" t="s">
        <v>2440</v>
      </c>
      <c r="X114" s="7" t="s">
        <v>2441</v>
      </c>
      <c r="Y114" s="7" t="s">
        <v>2484</v>
      </c>
      <c r="Z114" s="7" t="s">
        <v>2442</v>
      </c>
    </row>
    <row r="115" customFormat="false" ht="158.2" hidden="false" customHeight="false" outlineLevel="0" collapsed="false">
      <c r="A115" s="7" t="s">
        <v>1478</v>
      </c>
      <c r="B115" s="7" t="s">
        <v>97</v>
      </c>
      <c r="C115" s="7" t="s">
        <v>1349</v>
      </c>
      <c r="D115" s="7" t="s">
        <v>1475</v>
      </c>
      <c r="E115" s="7" t="s">
        <v>707</v>
      </c>
      <c r="F115" s="7" t="s">
        <v>564</v>
      </c>
      <c r="G115" s="7" t="s">
        <v>1476</v>
      </c>
      <c r="H115" s="7" t="s">
        <v>1477</v>
      </c>
      <c r="I115" s="8" t="n">
        <v>1</v>
      </c>
      <c r="J115" s="7" t="s">
        <v>250</v>
      </c>
      <c r="K115" s="7" t="s">
        <v>2452</v>
      </c>
      <c r="L115" s="7" t="s">
        <v>2453</v>
      </c>
      <c r="M115" s="7" t="s">
        <v>2433</v>
      </c>
      <c r="N115" s="7" t="s">
        <v>2434</v>
      </c>
      <c r="O115" s="7" t="s">
        <v>2454</v>
      </c>
      <c r="P115" s="7" t="s">
        <v>2455</v>
      </c>
      <c r="Q115" s="7" t="s">
        <v>2485</v>
      </c>
      <c r="R115" s="7"/>
      <c r="S115" s="7" t="s">
        <v>557</v>
      </c>
      <c r="T115" s="7" t="s">
        <v>556</v>
      </c>
      <c r="U115" s="7" t="s">
        <v>2438</v>
      </c>
      <c r="V115" s="7" t="s">
        <v>2439</v>
      </c>
      <c r="W115" s="7" t="s">
        <v>2440</v>
      </c>
      <c r="X115" s="7" t="s">
        <v>2441</v>
      </c>
      <c r="Y115" s="7" t="s">
        <v>2484</v>
      </c>
      <c r="Z115" s="7" t="s">
        <v>2442</v>
      </c>
    </row>
    <row r="116" customFormat="false" ht="158.2" hidden="false" customHeight="false" outlineLevel="0" collapsed="false">
      <c r="A116" s="7" t="s">
        <v>1483</v>
      </c>
      <c r="B116" s="7" t="s">
        <v>97</v>
      </c>
      <c r="C116" s="7" t="s">
        <v>1349</v>
      </c>
      <c r="D116" s="7" t="s">
        <v>1479</v>
      </c>
      <c r="E116" s="7" t="s">
        <v>1480</v>
      </c>
      <c r="F116" s="7" t="s">
        <v>575</v>
      </c>
      <c r="G116" s="7" t="s">
        <v>1481</v>
      </c>
      <c r="H116" s="7" t="s">
        <v>1482</v>
      </c>
      <c r="I116" s="8" t="n">
        <v>0.6</v>
      </c>
      <c r="J116" s="7" t="s">
        <v>367</v>
      </c>
      <c r="K116" s="7" t="s">
        <v>2463</v>
      </c>
      <c r="L116" s="7" t="s">
        <v>2464</v>
      </c>
      <c r="M116" s="7" t="s">
        <v>2433</v>
      </c>
      <c r="N116" s="7" t="s">
        <v>2434</v>
      </c>
      <c r="O116" s="7" t="s">
        <v>2465</v>
      </c>
      <c r="P116" s="7" t="s">
        <v>2466</v>
      </c>
      <c r="Q116" s="7" t="s">
        <v>2487</v>
      </c>
      <c r="R116" s="7"/>
      <c r="S116" s="7" t="s">
        <v>569</v>
      </c>
      <c r="T116" s="7" t="s">
        <v>568</v>
      </c>
      <c r="U116" s="7" t="s">
        <v>2438</v>
      </c>
      <c r="V116" s="7" t="s">
        <v>2439</v>
      </c>
      <c r="W116" s="7" t="s">
        <v>2440</v>
      </c>
      <c r="X116" s="7" t="s">
        <v>2441</v>
      </c>
      <c r="Y116" s="7" t="s">
        <v>2484</v>
      </c>
      <c r="Z116" s="7" t="s">
        <v>2442</v>
      </c>
    </row>
    <row r="117" customFormat="false" ht="158.2" hidden="false" customHeight="false" outlineLevel="0" collapsed="false">
      <c r="A117" s="7" t="s">
        <v>1489</v>
      </c>
      <c r="B117" s="7" t="s">
        <v>97</v>
      </c>
      <c r="C117" s="7" t="s">
        <v>1349</v>
      </c>
      <c r="D117" s="7" t="s">
        <v>1485</v>
      </c>
      <c r="E117" s="7" t="s">
        <v>1486</v>
      </c>
      <c r="F117" s="7" t="s">
        <v>575</v>
      </c>
      <c r="G117" s="7" t="s">
        <v>1487</v>
      </c>
      <c r="H117" s="7" t="s">
        <v>1488</v>
      </c>
      <c r="I117" s="8" t="n">
        <v>1.2</v>
      </c>
      <c r="J117" s="7" t="s">
        <v>367</v>
      </c>
      <c r="K117" s="7" t="s">
        <v>2463</v>
      </c>
      <c r="L117" s="7" t="s">
        <v>2464</v>
      </c>
      <c r="M117" s="7" t="s">
        <v>2433</v>
      </c>
      <c r="N117" s="7" t="s">
        <v>2434</v>
      </c>
      <c r="O117" s="7" t="s">
        <v>2465</v>
      </c>
      <c r="P117" s="7" t="s">
        <v>2466</v>
      </c>
      <c r="Q117" s="7" t="s">
        <v>2487</v>
      </c>
      <c r="R117" s="7"/>
      <c r="S117" s="7" t="s">
        <v>569</v>
      </c>
      <c r="T117" s="7" t="s">
        <v>568</v>
      </c>
      <c r="U117" s="7" t="s">
        <v>2438</v>
      </c>
      <c r="V117" s="7" t="s">
        <v>2439</v>
      </c>
      <c r="W117" s="7" t="s">
        <v>2440</v>
      </c>
      <c r="X117" s="7" t="s">
        <v>2441</v>
      </c>
      <c r="Y117" s="7" t="s">
        <v>2484</v>
      </c>
      <c r="Z117" s="7" t="s">
        <v>2442</v>
      </c>
    </row>
    <row r="118" customFormat="false" ht="158.2" hidden="false" customHeight="false" outlineLevel="0" collapsed="false">
      <c r="A118" s="7" t="s">
        <v>1494</v>
      </c>
      <c r="B118" s="7" t="s">
        <v>97</v>
      </c>
      <c r="C118" s="7" t="s">
        <v>1349</v>
      </c>
      <c r="D118" s="7" t="s">
        <v>1490</v>
      </c>
      <c r="E118" s="7" t="s">
        <v>1491</v>
      </c>
      <c r="F118" s="7" t="s">
        <v>575</v>
      </c>
      <c r="G118" s="7" t="s">
        <v>1492</v>
      </c>
      <c r="H118" s="7" t="s">
        <v>1493</v>
      </c>
      <c r="I118" s="8" t="n">
        <v>0.5</v>
      </c>
      <c r="J118" s="7" t="s">
        <v>367</v>
      </c>
      <c r="K118" s="7" t="s">
        <v>2463</v>
      </c>
      <c r="L118" s="7" t="s">
        <v>2464</v>
      </c>
      <c r="M118" s="7" t="s">
        <v>2433</v>
      </c>
      <c r="N118" s="7" t="s">
        <v>2434</v>
      </c>
      <c r="O118" s="7" t="s">
        <v>2465</v>
      </c>
      <c r="P118" s="7" t="s">
        <v>2466</v>
      </c>
      <c r="Q118" s="7" t="s">
        <v>2487</v>
      </c>
      <c r="R118" s="7"/>
      <c r="S118" s="7" t="s">
        <v>557</v>
      </c>
      <c r="T118" s="7" t="s">
        <v>556</v>
      </c>
      <c r="U118" s="7" t="s">
        <v>2438</v>
      </c>
      <c r="V118" s="7" t="s">
        <v>2439</v>
      </c>
      <c r="W118" s="7" t="s">
        <v>2440</v>
      </c>
      <c r="X118" s="7" t="s">
        <v>2441</v>
      </c>
      <c r="Y118" s="7" t="s">
        <v>2484</v>
      </c>
      <c r="Z118" s="7" t="s">
        <v>2442</v>
      </c>
    </row>
    <row r="119" customFormat="false" ht="158.2" hidden="false" customHeight="false" outlineLevel="0" collapsed="false">
      <c r="A119" s="7" t="s">
        <v>1499</v>
      </c>
      <c r="B119" s="7" t="s">
        <v>97</v>
      </c>
      <c r="C119" s="7" t="s">
        <v>1349</v>
      </c>
      <c r="D119" s="7" t="s">
        <v>1495</v>
      </c>
      <c r="E119" s="7" t="s">
        <v>1496</v>
      </c>
      <c r="F119" s="7" t="s">
        <v>575</v>
      </c>
      <c r="G119" s="7" t="s">
        <v>1497</v>
      </c>
      <c r="H119" s="7" t="s">
        <v>1498</v>
      </c>
      <c r="I119" s="8" t="n">
        <v>1</v>
      </c>
      <c r="J119" s="7" t="s">
        <v>367</v>
      </c>
      <c r="K119" s="7" t="s">
        <v>2463</v>
      </c>
      <c r="L119" s="7" t="s">
        <v>2464</v>
      </c>
      <c r="M119" s="7" t="s">
        <v>2433</v>
      </c>
      <c r="N119" s="7" t="s">
        <v>2434</v>
      </c>
      <c r="O119" s="7" t="s">
        <v>2465</v>
      </c>
      <c r="P119" s="7" t="s">
        <v>2466</v>
      </c>
      <c r="Q119" s="7" t="s">
        <v>2487</v>
      </c>
      <c r="R119" s="7"/>
      <c r="S119" s="7" t="s">
        <v>557</v>
      </c>
      <c r="T119" s="7" t="s">
        <v>556</v>
      </c>
      <c r="U119" s="7" t="s">
        <v>2438</v>
      </c>
      <c r="V119" s="7" t="s">
        <v>2439</v>
      </c>
      <c r="W119" s="7" t="s">
        <v>2440</v>
      </c>
      <c r="X119" s="7" t="s">
        <v>2441</v>
      </c>
      <c r="Y119" s="7" t="s">
        <v>2484</v>
      </c>
      <c r="Z119" s="7" t="s">
        <v>2442</v>
      </c>
    </row>
    <row r="120" customFormat="false" ht="158.2" hidden="false" customHeight="false" outlineLevel="0" collapsed="false">
      <c r="A120" s="7" t="s">
        <v>1505</v>
      </c>
      <c r="B120" s="7" t="s">
        <v>97</v>
      </c>
      <c r="C120" s="7" t="s">
        <v>1349</v>
      </c>
      <c r="D120" s="7" t="s">
        <v>1501</v>
      </c>
      <c r="E120" s="7" t="s">
        <v>1502</v>
      </c>
      <c r="F120" s="7" t="s">
        <v>575</v>
      </c>
      <c r="G120" s="7" t="s">
        <v>1503</v>
      </c>
      <c r="H120" s="7" t="s">
        <v>1504</v>
      </c>
      <c r="I120" s="8" t="n">
        <v>1</v>
      </c>
      <c r="J120" s="7" t="s">
        <v>367</v>
      </c>
      <c r="K120" s="7" t="s">
        <v>2463</v>
      </c>
      <c r="L120" s="7" t="s">
        <v>2464</v>
      </c>
      <c r="M120" s="7" t="s">
        <v>2433</v>
      </c>
      <c r="N120" s="7" t="s">
        <v>2434</v>
      </c>
      <c r="O120" s="7" t="s">
        <v>2465</v>
      </c>
      <c r="P120" s="7" t="s">
        <v>2466</v>
      </c>
      <c r="Q120" s="7" t="s">
        <v>2487</v>
      </c>
      <c r="R120" s="7"/>
      <c r="S120" s="7" t="s">
        <v>557</v>
      </c>
      <c r="T120" s="7" t="s">
        <v>556</v>
      </c>
      <c r="U120" s="7" t="s">
        <v>2438</v>
      </c>
      <c r="V120" s="7" t="s">
        <v>2439</v>
      </c>
      <c r="W120" s="7" t="s">
        <v>2440</v>
      </c>
      <c r="X120" s="7" t="s">
        <v>2441</v>
      </c>
      <c r="Y120" s="7" t="s">
        <v>2484</v>
      </c>
      <c r="Z120" s="7" t="s">
        <v>2442</v>
      </c>
    </row>
    <row r="121" customFormat="false" ht="158.2" hidden="false" customHeight="false" outlineLevel="0" collapsed="false">
      <c r="A121" s="7" t="s">
        <v>1510</v>
      </c>
      <c r="B121" s="7" t="s">
        <v>97</v>
      </c>
      <c r="C121" s="7" t="s">
        <v>1349</v>
      </c>
      <c r="D121" s="7" t="s">
        <v>1506</v>
      </c>
      <c r="E121" s="7" t="s">
        <v>1507</v>
      </c>
      <c r="F121" s="7" t="s">
        <v>575</v>
      </c>
      <c r="G121" s="7" t="s">
        <v>1508</v>
      </c>
      <c r="H121" s="7" t="s">
        <v>1509</v>
      </c>
      <c r="I121" s="8" t="n">
        <v>0.6</v>
      </c>
      <c r="J121" s="7" t="s">
        <v>367</v>
      </c>
      <c r="K121" s="7" t="s">
        <v>2463</v>
      </c>
      <c r="L121" s="7" t="s">
        <v>2464</v>
      </c>
      <c r="M121" s="7" t="s">
        <v>2433</v>
      </c>
      <c r="N121" s="7" t="s">
        <v>2434</v>
      </c>
      <c r="O121" s="7" t="s">
        <v>2465</v>
      </c>
      <c r="P121" s="7" t="s">
        <v>2466</v>
      </c>
      <c r="Q121" s="7" t="s">
        <v>2487</v>
      </c>
      <c r="R121" s="7"/>
      <c r="S121" s="7" t="s">
        <v>557</v>
      </c>
      <c r="T121" s="7" t="s">
        <v>556</v>
      </c>
      <c r="U121" s="7" t="s">
        <v>2438</v>
      </c>
      <c r="V121" s="7" t="s">
        <v>2439</v>
      </c>
      <c r="W121" s="7" t="s">
        <v>2440</v>
      </c>
      <c r="X121" s="7" t="s">
        <v>2441</v>
      </c>
      <c r="Y121" s="7" t="s">
        <v>2484</v>
      </c>
      <c r="Z121" s="7" t="s">
        <v>2442</v>
      </c>
    </row>
    <row r="122" customFormat="false" ht="158.2" hidden="false" customHeight="false" outlineLevel="0" collapsed="false">
      <c r="A122" s="7" t="s">
        <v>1515</v>
      </c>
      <c r="B122" s="7" t="s">
        <v>97</v>
      </c>
      <c r="C122" s="7" t="s">
        <v>1349</v>
      </c>
      <c r="D122" s="7" t="s">
        <v>1511</v>
      </c>
      <c r="E122" s="7" t="s">
        <v>1512</v>
      </c>
      <c r="F122" s="7" t="s">
        <v>575</v>
      </c>
      <c r="G122" s="7" t="s">
        <v>1513</v>
      </c>
      <c r="H122" s="7" t="s">
        <v>1514</v>
      </c>
      <c r="I122" s="8" t="n">
        <v>0.1</v>
      </c>
      <c r="J122" s="7" t="s">
        <v>367</v>
      </c>
      <c r="K122" s="7" t="s">
        <v>2463</v>
      </c>
      <c r="L122" s="7" t="s">
        <v>2464</v>
      </c>
      <c r="M122" s="7" t="s">
        <v>2433</v>
      </c>
      <c r="N122" s="7" t="s">
        <v>2434</v>
      </c>
      <c r="O122" s="7" t="s">
        <v>2465</v>
      </c>
      <c r="P122" s="7" t="s">
        <v>2466</v>
      </c>
      <c r="Q122" s="7" t="s">
        <v>2487</v>
      </c>
      <c r="R122" s="7"/>
      <c r="S122" s="7" t="s">
        <v>557</v>
      </c>
      <c r="T122" s="7" t="s">
        <v>556</v>
      </c>
      <c r="U122" s="7" t="s">
        <v>2438</v>
      </c>
      <c r="V122" s="7" t="s">
        <v>2439</v>
      </c>
      <c r="W122" s="7" t="s">
        <v>2440</v>
      </c>
      <c r="X122" s="7" t="s">
        <v>2441</v>
      </c>
      <c r="Y122" s="7" t="s">
        <v>2484</v>
      </c>
      <c r="Z122" s="7" t="s">
        <v>2442</v>
      </c>
    </row>
    <row r="123" customFormat="false" ht="158.2" hidden="false" customHeight="false" outlineLevel="0" collapsed="false">
      <c r="A123" s="7" t="s">
        <v>1520</v>
      </c>
      <c r="B123" s="7" t="s">
        <v>97</v>
      </c>
      <c r="C123" s="7" t="s">
        <v>1349</v>
      </c>
      <c r="D123" s="7" t="s">
        <v>1516</v>
      </c>
      <c r="E123" s="7" t="s">
        <v>1517</v>
      </c>
      <c r="F123" s="7" t="s">
        <v>584</v>
      </c>
      <c r="G123" s="7" t="s">
        <v>1518</v>
      </c>
      <c r="H123" s="7" t="s">
        <v>1519</v>
      </c>
      <c r="I123" s="8" t="n">
        <v>0.4</v>
      </c>
      <c r="J123" s="7" t="s">
        <v>347</v>
      </c>
      <c r="K123" s="7" t="s">
        <v>2458</v>
      </c>
      <c r="L123" s="7" t="s">
        <v>2459</v>
      </c>
      <c r="M123" s="7" t="s">
        <v>2433</v>
      </c>
      <c r="N123" s="7" t="s">
        <v>2434</v>
      </c>
      <c r="O123" s="7" t="s">
        <v>2460</v>
      </c>
      <c r="P123" s="7" t="s">
        <v>2461</v>
      </c>
      <c r="Q123" s="7" t="s">
        <v>2488</v>
      </c>
      <c r="R123" s="7"/>
      <c r="S123" s="7"/>
      <c r="T123" s="7" t="s">
        <v>1065</v>
      </c>
      <c r="U123" s="7" t="s">
        <v>2438</v>
      </c>
      <c r="V123" s="7" t="s">
        <v>2439</v>
      </c>
      <c r="W123" s="7" t="s">
        <v>2440</v>
      </c>
      <c r="X123" s="7" t="s">
        <v>2441</v>
      </c>
      <c r="Y123" s="7" t="s">
        <v>2484</v>
      </c>
      <c r="Z123" s="7" t="s">
        <v>2442</v>
      </c>
    </row>
    <row r="124" customFormat="false" ht="158.2" hidden="false" customHeight="false" outlineLevel="0" collapsed="false">
      <c r="A124" s="7" t="s">
        <v>1525</v>
      </c>
      <c r="B124" s="7" t="s">
        <v>97</v>
      </c>
      <c r="C124" s="7" t="s">
        <v>1349</v>
      </c>
      <c r="D124" s="7" t="s">
        <v>1521</v>
      </c>
      <c r="E124" s="7" t="s">
        <v>1522</v>
      </c>
      <c r="F124" s="7" t="s">
        <v>584</v>
      </c>
      <c r="G124" s="7" t="s">
        <v>1523</v>
      </c>
      <c r="H124" s="7" t="s">
        <v>1524</v>
      </c>
      <c r="I124" s="8" t="n">
        <v>0.1</v>
      </c>
      <c r="J124" s="7" t="s">
        <v>347</v>
      </c>
      <c r="K124" s="7" t="s">
        <v>2458</v>
      </c>
      <c r="L124" s="7" t="s">
        <v>2459</v>
      </c>
      <c r="M124" s="7" t="s">
        <v>2433</v>
      </c>
      <c r="N124" s="7" t="s">
        <v>2434</v>
      </c>
      <c r="O124" s="7" t="s">
        <v>2460</v>
      </c>
      <c r="P124" s="7" t="s">
        <v>2461</v>
      </c>
      <c r="Q124" s="7" t="s">
        <v>2488</v>
      </c>
      <c r="R124" s="7"/>
      <c r="S124" s="7" t="s">
        <v>569</v>
      </c>
      <c r="T124" s="7" t="s">
        <v>568</v>
      </c>
      <c r="U124" s="7" t="s">
        <v>2438</v>
      </c>
      <c r="V124" s="7" t="s">
        <v>2439</v>
      </c>
      <c r="W124" s="7" t="s">
        <v>2440</v>
      </c>
      <c r="X124" s="7" t="s">
        <v>2441</v>
      </c>
      <c r="Y124" s="7" t="s">
        <v>2484</v>
      </c>
      <c r="Z124" s="7" t="s">
        <v>2442</v>
      </c>
    </row>
    <row r="125" customFormat="false" ht="158.2" hidden="false" customHeight="false" outlineLevel="0" collapsed="false">
      <c r="A125" s="7" t="s">
        <v>1530</v>
      </c>
      <c r="B125" s="7" t="s">
        <v>97</v>
      </c>
      <c r="C125" s="7" t="s">
        <v>1349</v>
      </c>
      <c r="D125" s="7" t="s">
        <v>1526</v>
      </c>
      <c r="E125" s="7" t="s">
        <v>1527</v>
      </c>
      <c r="F125" s="7" t="s">
        <v>584</v>
      </c>
      <c r="G125" s="7" t="s">
        <v>1528</v>
      </c>
      <c r="H125" s="7" t="s">
        <v>1529</v>
      </c>
      <c r="I125" s="8" t="n">
        <v>0.3</v>
      </c>
      <c r="J125" s="7" t="s">
        <v>347</v>
      </c>
      <c r="K125" s="7" t="s">
        <v>2458</v>
      </c>
      <c r="L125" s="7" t="s">
        <v>2459</v>
      </c>
      <c r="M125" s="7" t="s">
        <v>2433</v>
      </c>
      <c r="N125" s="7" t="s">
        <v>2434</v>
      </c>
      <c r="O125" s="7" t="s">
        <v>2460</v>
      </c>
      <c r="P125" s="7" t="s">
        <v>2461</v>
      </c>
      <c r="Q125" s="7" t="s">
        <v>2488</v>
      </c>
      <c r="R125" s="7"/>
      <c r="S125" s="7" t="s">
        <v>569</v>
      </c>
      <c r="T125" s="7" t="s">
        <v>568</v>
      </c>
      <c r="U125" s="7" t="s">
        <v>2438</v>
      </c>
      <c r="V125" s="7" t="s">
        <v>2439</v>
      </c>
      <c r="W125" s="7" t="s">
        <v>2440</v>
      </c>
      <c r="X125" s="7" t="s">
        <v>2441</v>
      </c>
      <c r="Y125" s="7" t="s">
        <v>2484</v>
      </c>
      <c r="Z125" s="7" t="s">
        <v>2442</v>
      </c>
    </row>
    <row r="126" customFormat="false" ht="158.2" hidden="false" customHeight="false" outlineLevel="0" collapsed="false">
      <c r="A126" s="7" t="s">
        <v>1536</v>
      </c>
      <c r="B126" s="7" t="s">
        <v>97</v>
      </c>
      <c r="C126" s="7" t="s">
        <v>1349</v>
      </c>
      <c r="D126" s="7" t="s">
        <v>1532</v>
      </c>
      <c r="E126" s="7" t="s">
        <v>1533</v>
      </c>
      <c r="F126" s="7" t="s">
        <v>584</v>
      </c>
      <c r="G126" s="7" t="s">
        <v>1534</v>
      </c>
      <c r="H126" s="7" t="s">
        <v>1535</v>
      </c>
      <c r="I126" s="8" t="n">
        <v>0.3</v>
      </c>
      <c r="J126" s="7" t="s">
        <v>347</v>
      </c>
      <c r="K126" s="7" t="s">
        <v>2458</v>
      </c>
      <c r="L126" s="7" t="s">
        <v>2459</v>
      </c>
      <c r="M126" s="7" t="s">
        <v>2433</v>
      </c>
      <c r="N126" s="7" t="s">
        <v>2434</v>
      </c>
      <c r="O126" s="7" t="s">
        <v>2460</v>
      </c>
      <c r="P126" s="7" t="s">
        <v>2461</v>
      </c>
      <c r="Q126" s="7" t="s">
        <v>2488</v>
      </c>
      <c r="R126" s="7"/>
      <c r="S126" s="7" t="s">
        <v>569</v>
      </c>
      <c r="T126" s="7" t="s">
        <v>568</v>
      </c>
      <c r="U126" s="7" t="s">
        <v>2438</v>
      </c>
      <c r="V126" s="7" t="s">
        <v>2439</v>
      </c>
      <c r="W126" s="7" t="s">
        <v>2440</v>
      </c>
      <c r="X126" s="7" t="s">
        <v>2441</v>
      </c>
      <c r="Y126" s="7" t="s">
        <v>2484</v>
      </c>
      <c r="Z126" s="7" t="s">
        <v>2442</v>
      </c>
    </row>
    <row r="127" customFormat="false" ht="158.2" hidden="false" customHeight="false" outlineLevel="0" collapsed="false">
      <c r="A127" s="7" t="s">
        <v>1542</v>
      </c>
      <c r="B127" s="7" t="s">
        <v>97</v>
      </c>
      <c r="C127" s="7" t="s">
        <v>1349</v>
      </c>
      <c r="D127" s="7" t="s">
        <v>1538</v>
      </c>
      <c r="E127" s="7" t="s">
        <v>1539</v>
      </c>
      <c r="F127" s="7" t="s">
        <v>584</v>
      </c>
      <c r="G127" s="7" t="s">
        <v>1540</v>
      </c>
      <c r="H127" s="7" t="s">
        <v>1541</v>
      </c>
      <c r="I127" s="8" t="n">
        <v>0.1</v>
      </c>
      <c r="J127" s="7" t="s">
        <v>347</v>
      </c>
      <c r="K127" s="7" t="s">
        <v>2458</v>
      </c>
      <c r="L127" s="7" t="s">
        <v>2459</v>
      </c>
      <c r="M127" s="7" t="s">
        <v>2433</v>
      </c>
      <c r="N127" s="7" t="s">
        <v>2434</v>
      </c>
      <c r="O127" s="7" t="s">
        <v>2460</v>
      </c>
      <c r="P127" s="7" t="s">
        <v>2461</v>
      </c>
      <c r="Q127" s="7" t="s">
        <v>2488</v>
      </c>
      <c r="R127" s="7"/>
      <c r="S127" s="7" t="s">
        <v>569</v>
      </c>
      <c r="T127" s="7" t="s">
        <v>568</v>
      </c>
      <c r="U127" s="7" t="s">
        <v>2438</v>
      </c>
      <c r="V127" s="7" t="s">
        <v>2439</v>
      </c>
      <c r="W127" s="7" t="s">
        <v>2440</v>
      </c>
      <c r="X127" s="7" t="s">
        <v>2441</v>
      </c>
      <c r="Y127" s="7" t="s">
        <v>2484</v>
      </c>
      <c r="Z127" s="7" t="s">
        <v>2442</v>
      </c>
    </row>
    <row r="128" customFormat="false" ht="158.2" hidden="false" customHeight="false" outlineLevel="0" collapsed="false">
      <c r="A128" s="7" t="s">
        <v>1546</v>
      </c>
      <c r="B128" s="7" t="s">
        <v>97</v>
      </c>
      <c r="C128" s="7" t="s">
        <v>1349</v>
      </c>
      <c r="D128" s="7" t="s">
        <v>1543</v>
      </c>
      <c r="E128" s="7" t="s">
        <v>1544</v>
      </c>
      <c r="F128" s="7" t="s">
        <v>584</v>
      </c>
      <c r="G128" s="7" t="s">
        <v>1545</v>
      </c>
      <c r="H128" s="7" t="s">
        <v>1519</v>
      </c>
      <c r="I128" s="8" t="n">
        <v>0.1</v>
      </c>
      <c r="J128" s="7" t="s">
        <v>347</v>
      </c>
      <c r="K128" s="7" t="s">
        <v>2458</v>
      </c>
      <c r="L128" s="7" t="s">
        <v>2459</v>
      </c>
      <c r="M128" s="7" t="s">
        <v>2433</v>
      </c>
      <c r="N128" s="7" t="s">
        <v>2434</v>
      </c>
      <c r="O128" s="7" t="s">
        <v>2460</v>
      </c>
      <c r="P128" s="7" t="s">
        <v>2461</v>
      </c>
      <c r="Q128" s="7" t="s">
        <v>2488</v>
      </c>
      <c r="R128" s="7"/>
      <c r="S128" s="7"/>
      <c r="T128" s="7" t="s">
        <v>1065</v>
      </c>
      <c r="U128" s="7" t="s">
        <v>2438</v>
      </c>
      <c r="V128" s="7" t="s">
        <v>2439</v>
      </c>
      <c r="W128" s="7" t="s">
        <v>2440</v>
      </c>
      <c r="X128" s="7" t="s">
        <v>2441</v>
      </c>
      <c r="Y128" s="7" t="s">
        <v>2484</v>
      </c>
      <c r="Z128" s="7" t="s">
        <v>2442</v>
      </c>
    </row>
    <row r="129" customFormat="false" ht="158.2" hidden="false" customHeight="false" outlineLevel="0" collapsed="false">
      <c r="A129" s="7" t="s">
        <v>1551</v>
      </c>
      <c r="B129" s="7" t="s">
        <v>97</v>
      </c>
      <c r="C129" s="7" t="s">
        <v>1349</v>
      </c>
      <c r="D129" s="7" t="s">
        <v>1547</v>
      </c>
      <c r="E129" s="7" t="s">
        <v>1548</v>
      </c>
      <c r="F129" s="7" t="s">
        <v>584</v>
      </c>
      <c r="G129" s="7" t="s">
        <v>1549</v>
      </c>
      <c r="H129" s="7" t="s">
        <v>1550</v>
      </c>
      <c r="I129" s="8" t="n">
        <v>0.1</v>
      </c>
      <c r="J129" s="7" t="s">
        <v>347</v>
      </c>
      <c r="K129" s="7" t="s">
        <v>2458</v>
      </c>
      <c r="L129" s="7" t="s">
        <v>2459</v>
      </c>
      <c r="M129" s="7" t="s">
        <v>2433</v>
      </c>
      <c r="N129" s="7" t="s">
        <v>2434</v>
      </c>
      <c r="O129" s="7" t="s">
        <v>2460</v>
      </c>
      <c r="P129" s="7" t="s">
        <v>2461</v>
      </c>
      <c r="Q129" s="7" t="s">
        <v>2488</v>
      </c>
      <c r="R129" s="7"/>
      <c r="S129" s="7" t="s">
        <v>569</v>
      </c>
      <c r="T129" s="7" t="s">
        <v>568</v>
      </c>
      <c r="U129" s="7" t="s">
        <v>2438</v>
      </c>
      <c r="V129" s="7" t="s">
        <v>2439</v>
      </c>
      <c r="W129" s="7" t="s">
        <v>2440</v>
      </c>
      <c r="X129" s="7" t="s">
        <v>2441</v>
      </c>
      <c r="Y129" s="7" t="s">
        <v>2484</v>
      </c>
      <c r="Z129" s="7" t="s">
        <v>2442</v>
      </c>
    </row>
    <row r="130" customFormat="false" ht="158.2" hidden="false" customHeight="false" outlineLevel="0" collapsed="false">
      <c r="A130" s="7" t="s">
        <v>1556</v>
      </c>
      <c r="B130" s="7" t="s">
        <v>97</v>
      </c>
      <c r="C130" s="7" t="s">
        <v>1349</v>
      </c>
      <c r="D130" s="7" t="s">
        <v>1552</v>
      </c>
      <c r="E130" s="7" t="s">
        <v>1553</v>
      </c>
      <c r="F130" s="7" t="s">
        <v>584</v>
      </c>
      <c r="G130" s="7" t="s">
        <v>1554</v>
      </c>
      <c r="H130" s="7" t="s">
        <v>1555</v>
      </c>
      <c r="I130" s="8" t="n">
        <v>0.4</v>
      </c>
      <c r="J130" s="7" t="s">
        <v>347</v>
      </c>
      <c r="K130" s="7" t="s">
        <v>2458</v>
      </c>
      <c r="L130" s="7" t="s">
        <v>2459</v>
      </c>
      <c r="M130" s="7" t="s">
        <v>2433</v>
      </c>
      <c r="N130" s="7" t="s">
        <v>2434</v>
      </c>
      <c r="O130" s="7" t="s">
        <v>2460</v>
      </c>
      <c r="P130" s="7" t="s">
        <v>2461</v>
      </c>
      <c r="Q130" s="7" t="s">
        <v>2488</v>
      </c>
      <c r="R130" s="7"/>
      <c r="S130" s="7" t="s">
        <v>569</v>
      </c>
      <c r="T130" s="7" t="s">
        <v>568</v>
      </c>
      <c r="U130" s="7" t="s">
        <v>2438</v>
      </c>
      <c r="V130" s="7" t="s">
        <v>2439</v>
      </c>
      <c r="W130" s="7" t="s">
        <v>2440</v>
      </c>
      <c r="X130" s="7" t="s">
        <v>2441</v>
      </c>
      <c r="Y130" s="7" t="s">
        <v>2484</v>
      </c>
      <c r="Z130" s="7" t="s">
        <v>2442</v>
      </c>
    </row>
    <row r="131" customFormat="false" ht="158.2" hidden="false" customHeight="false" outlineLevel="0" collapsed="false">
      <c r="A131" s="7" t="s">
        <v>1562</v>
      </c>
      <c r="B131" s="7" t="s">
        <v>97</v>
      </c>
      <c r="C131" s="7" t="s">
        <v>1349</v>
      </c>
      <c r="D131" s="7" t="s">
        <v>1558</v>
      </c>
      <c r="E131" s="7" t="s">
        <v>1559</v>
      </c>
      <c r="F131" s="7" t="s">
        <v>584</v>
      </c>
      <c r="G131" s="7" t="s">
        <v>1560</v>
      </c>
      <c r="H131" s="7" t="s">
        <v>1561</v>
      </c>
      <c r="I131" s="8" t="n">
        <v>0.4</v>
      </c>
      <c r="J131" s="7" t="s">
        <v>347</v>
      </c>
      <c r="K131" s="7" t="s">
        <v>2458</v>
      </c>
      <c r="L131" s="7" t="s">
        <v>2459</v>
      </c>
      <c r="M131" s="7" t="s">
        <v>2433</v>
      </c>
      <c r="N131" s="7" t="s">
        <v>2434</v>
      </c>
      <c r="O131" s="7" t="s">
        <v>2460</v>
      </c>
      <c r="P131" s="7" t="s">
        <v>2461</v>
      </c>
      <c r="Q131" s="7" t="s">
        <v>2488</v>
      </c>
      <c r="R131" s="7"/>
      <c r="S131" s="7" t="s">
        <v>557</v>
      </c>
      <c r="T131" s="7" t="s">
        <v>556</v>
      </c>
      <c r="U131" s="7" t="s">
        <v>2438</v>
      </c>
      <c r="V131" s="7" t="s">
        <v>2439</v>
      </c>
      <c r="W131" s="7" t="s">
        <v>2440</v>
      </c>
      <c r="X131" s="7" t="s">
        <v>2441</v>
      </c>
      <c r="Y131" s="7" t="s">
        <v>2484</v>
      </c>
      <c r="Z131" s="7" t="s">
        <v>2442</v>
      </c>
    </row>
    <row r="132" customFormat="false" ht="158.2" hidden="false" customHeight="false" outlineLevel="0" collapsed="false">
      <c r="A132" s="7" t="s">
        <v>1567</v>
      </c>
      <c r="B132" s="7" t="s">
        <v>97</v>
      </c>
      <c r="C132" s="7" t="s">
        <v>1349</v>
      </c>
      <c r="D132" s="7" t="s">
        <v>1564</v>
      </c>
      <c r="E132" s="7" t="s">
        <v>599</v>
      </c>
      <c r="F132" s="7" t="s">
        <v>584</v>
      </c>
      <c r="G132" s="7" t="s">
        <v>1565</v>
      </c>
      <c r="H132" s="7" t="s">
        <v>1566</v>
      </c>
      <c r="I132" s="8" t="n">
        <v>0.1</v>
      </c>
      <c r="J132" s="7" t="s">
        <v>367</v>
      </c>
      <c r="K132" s="7" t="s">
        <v>2463</v>
      </c>
      <c r="L132" s="7" t="s">
        <v>2464</v>
      </c>
      <c r="M132" s="7" t="s">
        <v>2433</v>
      </c>
      <c r="N132" s="7" t="s">
        <v>2434</v>
      </c>
      <c r="O132" s="7" t="s">
        <v>2465</v>
      </c>
      <c r="P132" s="7" t="s">
        <v>2466</v>
      </c>
      <c r="Q132" s="7" t="s">
        <v>2488</v>
      </c>
      <c r="R132" s="7"/>
      <c r="S132" s="7" t="s">
        <v>569</v>
      </c>
      <c r="T132" s="7" t="s">
        <v>568</v>
      </c>
      <c r="U132" s="7" t="s">
        <v>2438</v>
      </c>
      <c r="V132" s="7" t="s">
        <v>2439</v>
      </c>
      <c r="W132" s="7" t="s">
        <v>2440</v>
      </c>
      <c r="X132" s="7" t="s">
        <v>2441</v>
      </c>
      <c r="Y132" s="7" t="s">
        <v>2484</v>
      </c>
      <c r="Z132" s="7" t="s">
        <v>2442</v>
      </c>
    </row>
    <row r="133" customFormat="false" ht="158.2" hidden="false" customHeight="false" outlineLevel="0" collapsed="false">
      <c r="A133" s="7" t="s">
        <v>1573</v>
      </c>
      <c r="B133" s="7" t="s">
        <v>97</v>
      </c>
      <c r="C133" s="7" t="s">
        <v>1349</v>
      </c>
      <c r="D133" s="7" t="s">
        <v>1569</v>
      </c>
      <c r="E133" s="7" t="s">
        <v>1570</v>
      </c>
      <c r="F133" s="7" t="s">
        <v>584</v>
      </c>
      <c r="G133" s="7" t="s">
        <v>1571</v>
      </c>
      <c r="H133" s="7" t="s">
        <v>1572</v>
      </c>
      <c r="I133" s="8" t="n">
        <v>0.2</v>
      </c>
      <c r="J133" s="7" t="s">
        <v>367</v>
      </c>
      <c r="K133" s="7" t="s">
        <v>2463</v>
      </c>
      <c r="L133" s="7" t="s">
        <v>2464</v>
      </c>
      <c r="M133" s="7" t="s">
        <v>2433</v>
      </c>
      <c r="N133" s="7" t="s">
        <v>2434</v>
      </c>
      <c r="O133" s="7" t="s">
        <v>2465</v>
      </c>
      <c r="P133" s="7" t="s">
        <v>2466</v>
      </c>
      <c r="Q133" s="7" t="s">
        <v>2488</v>
      </c>
      <c r="R133" s="7"/>
      <c r="S133" s="7" t="s">
        <v>569</v>
      </c>
      <c r="T133" s="7" t="s">
        <v>568</v>
      </c>
      <c r="U133" s="7" t="s">
        <v>2438</v>
      </c>
      <c r="V133" s="7" t="s">
        <v>2439</v>
      </c>
      <c r="W133" s="7" t="s">
        <v>2440</v>
      </c>
      <c r="X133" s="7" t="s">
        <v>2441</v>
      </c>
      <c r="Y133" s="7" t="s">
        <v>2484</v>
      </c>
      <c r="Z133" s="7" t="s">
        <v>2442</v>
      </c>
    </row>
    <row r="134" customFormat="false" ht="158.2" hidden="false" customHeight="false" outlineLevel="0" collapsed="false">
      <c r="A134" s="7" t="s">
        <v>1578</v>
      </c>
      <c r="B134" s="7" t="s">
        <v>97</v>
      </c>
      <c r="C134" s="7" t="s">
        <v>1349</v>
      </c>
      <c r="D134" s="7" t="s">
        <v>1574</v>
      </c>
      <c r="E134" s="7" t="s">
        <v>1575</v>
      </c>
      <c r="F134" s="7" t="s">
        <v>584</v>
      </c>
      <c r="G134" s="7" t="s">
        <v>1576</v>
      </c>
      <c r="H134" s="7" t="s">
        <v>1577</v>
      </c>
      <c r="I134" s="8" t="n">
        <v>0.3</v>
      </c>
      <c r="J134" s="7" t="s">
        <v>367</v>
      </c>
      <c r="K134" s="7" t="s">
        <v>2463</v>
      </c>
      <c r="L134" s="7" t="s">
        <v>2464</v>
      </c>
      <c r="M134" s="7" t="s">
        <v>2433</v>
      </c>
      <c r="N134" s="7" t="s">
        <v>2434</v>
      </c>
      <c r="O134" s="7" t="s">
        <v>2465</v>
      </c>
      <c r="P134" s="7" t="s">
        <v>2466</v>
      </c>
      <c r="Q134" s="7" t="s">
        <v>2488</v>
      </c>
      <c r="R134" s="7"/>
      <c r="S134" s="7" t="s">
        <v>569</v>
      </c>
      <c r="T134" s="7" t="s">
        <v>568</v>
      </c>
      <c r="U134" s="7" t="s">
        <v>2438</v>
      </c>
      <c r="V134" s="7" t="s">
        <v>2439</v>
      </c>
      <c r="W134" s="7" t="s">
        <v>2440</v>
      </c>
      <c r="X134" s="7" t="s">
        <v>2441</v>
      </c>
      <c r="Y134" s="7" t="s">
        <v>2484</v>
      </c>
      <c r="Z134" s="7" t="s">
        <v>2442</v>
      </c>
    </row>
    <row r="135" customFormat="false" ht="158.2" hidden="false" customHeight="false" outlineLevel="0" collapsed="false">
      <c r="A135" s="7" t="s">
        <v>1583</v>
      </c>
      <c r="B135" s="7" t="s">
        <v>97</v>
      </c>
      <c r="C135" s="7" t="s">
        <v>1349</v>
      </c>
      <c r="D135" s="7" t="s">
        <v>1579</v>
      </c>
      <c r="E135" s="7" t="s">
        <v>1580</v>
      </c>
      <c r="F135" s="7" t="s">
        <v>584</v>
      </c>
      <c r="G135" s="7" t="s">
        <v>1581</v>
      </c>
      <c r="H135" s="7" t="s">
        <v>1582</v>
      </c>
      <c r="I135" s="8" t="n">
        <v>0.3</v>
      </c>
      <c r="J135" s="7" t="s">
        <v>367</v>
      </c>
      <c r="K135" s="7" t="s">
        <v>2463</v>
      </c>
      <c r="L135" s="7" t="s">
        <v>2464</v>
      </c>
      <c r="M135" s="7" t="s">
        <v>2433</v>
      </c>
      <c r="N135" s="7" t="s">
        <v>2434</v>
      </c>
      <c r="O135" s="7" t="s">
        <v>2465</v>
      </c>
      <c r="P135" s="7" t="s">
        <v>2466</v>
      </c>
      <c r="Q135" s="7" t="s">
        <v>2488</v>
      </c>
      <c r="R135" s="7"/>
      <c r="S135" s="7" t="s">
        <v>569</v>
      </c>
      <c r="T135" s="7" t="s">
        <v>568</v>
      </c>
      <c r="U135" s="7" t="s">
        <v>2438</v>
      </c>
      <c r="V135" s="7" t="s">
        <v>2439</v>
      </c>
      <c r="W135" s="7" t="s">
        <v>2440</v>
      </c>
      <c r="X135" s="7" t="s">
        <v>2441</v>
      </c>
      <c r="Y135" s="7" t="s">
        <v>2484</v>
      </c>
      <c r="Z135" s="7" t="s">
        <v>2442</v>
      </c>
    </row>
    <row r="136" customFormat="false" ht="158.2" hidden="false" customHeight="false" outlineLevel="0" collapsed="false">
      <c r="A136" s="7" t="s">
        <v>1587</v>
      </c>
      <c r="B136" s="7" t="s">
        <v>97</v>
      </c>
      <c r="C136" s="7" t="s">
        <v>1349</v>
      </c>
      <c r="D136" s="7" t="s">
        <v>1584</v>
      </c>
      <c r="E136" s="7" t="s">
        <v>801</v>
      </c>
      <c r="F136" s="7" t="s">
        <v>584</v>
      </c>
      <c r="G136" s="7" t="s">
        <v>1585</v>
      </c>
      <c r="H136" s="7" t="s">
        <v>1586</v>
      </c>
      <c r="I136" s="8" t="n">
        <v>0.2</v>
      </c>
      <c r="J136" s="7" t="s">
        <v>367</v>
      </c>
      <c r="K136" s="7" t="s">
        <v>2463</v>
      </c>
      <c r="L136" s="7" t="s">
        <v>2464</v>
      </c>
      <c r="M136" s="7" t="s">
        <v>2433</v>
      </c>
      <c r="N136" s="7" t="s">
        <v>2434</v>
      </c>
      <c r="O136" s="7" t="s">
        <v>2465</v>
      </c>
      <c r="P136" s="7" t="s">
        <v>2466</v>
      </c>
      <c r="Q136" s="7" t="s">
        <v>2488</v>
      </c>
      <c r="R136" s="7"/>
      <c r="S136" s="7" t="s">
        <v>569</v>
      </c>
      <c r="T136" s="7" t="s">
        <v>628</v>
      </c>
      <c r="U136" s="7" t="s">
        <v>2438</v>
      </c>
      <c r="V136" s="7" t="s">
        <v>2439</v>
      </c>
      <c r="W136" s="7" t="s">
        <v>2440</v>
      </c>
      <c r="X136" s="7" t="s">
        <v>2441</v>
      </c>
      <c r="Y136" s="7" t="s">
        <v>2484</v>
      </c>
      <c r="Z136" s="7" t="s">
        <v>2442</v>
      </c>
    </row>
    <row r="137" customFormat="false" ht="158.2" hidden="false" customHeight="false" outlineLevel="0" collapsed="false">
      <c r="A137" s="7" t="s">
        <v>1592</v>
      </c>
      <c r="B137" s="7" t="s">
        <v>97</v>
      </c>
      <c r="C137" s="7" t="s">
        <v>1349</v>
      </c>
      <c r="D137" s="7" t="s">
        <v>1588</v>
      </c>
      <c r="E137" s="7" t="s">
        <v>1589</v>
      </c>
      <c r="F137" s="7" t="s">
        <v>584</v>
      </c>
      <c r="G137" s="7" t="s">
        <v>1590</v>
      </c>
      <c r="H137" s="7" t="s">
        <v>1591</v>
      </c>
      <c r="I137" s="8" t="n">
        <v>0.4</v>
      </c>
      <c r="J137" s="7" t="s">
        <v>367</v>
      </c>
      <c r="K137" s="7" t="s">
        <v>2463</v>
      </c>
      <c r="L137" s="7" t="s">
        <v>2464</v>
      </c>
      <c r="M137" s="7" t="s">
        <v>2433</v>
      </c>
      <c r="N137" s="7" t="s">
        <v>2434</v>
      </c>
      <c r="O137" s="7" t="s">
        <v>2465</v>
      </c>
      <c r="P137" s="7" t="s">
        <v>2466</v>
      </c>
      <c r="Q137" s="7" t="s">
        <v>2488</v>
      </c>
      <c r="R137" s="7"/>
      <c r="S137" s="7" t="s">
        <v>569</v>
      </c>
      <c r="T137" s="7" t="s">
        <v>568</v>
      </c>
      <c r="U137" s="7" t="s">
        <v>2438</v>
      </c>
      <c r="V137" s="7" t="s">
        <v>2439</v>
      </c>
      <c r="W137" s="7" t="s">
        <v>2440</v>
      </c>
      <c r="X137" s="7" t="s">
        <v>2441</v>
      </c>
      <c r="Y137" s="7" t="s">
        <v>2484</v>
      </c>
      <c r="Z137" s="7" t="s">
        <v>2442</v>
      </c>
    </row>
    <row r="138" customFormat="false" ht="158.2" hidden="false" customHeight="false" outlineLevel="0" collapsed="false">
      <c r="A138" s="7" t="s">
        <v>1596</v>
      </c>
      <c r="B138" s="7" t="s">
        <v>97</v>
      </c>
      <c r="C138" s="7" t="s">
        <v>1349</v>
      </c>
      <c r="D138" s="7" t="s">
        <v>1594</v>
      </c>
      <c r="E138" s="7" t="s">
        <v>808</v>
      </c>
      <c r="F138" s="7" t="s">
        <v>584</v>
      </c>
      <c r="G138" s="7" t="s">
        <v>1595</v>
      </c>
      <c r="H138" s="7" t="s">
        <v>1262</v>
      </c>
      <c r="I138" s="8" t="n">
        <v>0.4</v>
      </c>
      <c r="J138" s="7" t="s">
        <v>367</v>
      </c>
      <c r="K138" s="7" t="s">
        <v>2463</v>
      </c>
      <c r="L138" s="7" t="s">
        <v>2464</v>
      </c>
      <c r="M138" s="7" t="s">
        <v>2433</v>
      </c>
      <c r="N138" s="7" t="s">
        <v>2434</v>
      </c>
      <c r="O138" s="7" t="s">
        <v>2465</v>
      </c>
      <c r="P138" s="7" t="s">
        <v>2466</v>
      </c>
      <c r="Q138" s="7" t="s">
        <v>2488</v>
      </c>
      <c r="R138" s="7"/>
      <c r="S138" s="7"/>
      <c r="T138" s="7" t="s">
        <v>1065</v>
      </c>
      <c r="U138" s="7" t="s">
        <v>2438</v>
      </c>
      <c r="V138" s="7" t="s">
        <v>2439</v>
      </c>
      <c r="W138" s="7" t="s">
        <v>2440</v>
      </c>
      <c r="X138" s="7" t="s">
        <v>2441</v>
      </c>
      <c r="Y138" s="7" t="s">
        <v>2484</v>
      </c>
      <c r="Z138" s="7" t="s">
        <v>2442</v>
      </c>
    </row>
    <row r="139" customFormat="false" ht="158.2" hidden="false" customHeight="false" outlineLevel="0" collapsed="false">
      <c r="A139" s="7" t="s">
        <v>1600</v>
      </c>
      <c r="B139" s="7" t="s">
        <v>97</v>
      </c>
      <c r="C139" s="7" t="s">
        <v>1349</v>
      </c>
      <c r="D139" s="7" t="s">
        <v>1598</v>
      </c>
      <c r="E139" s="7" t="s">
        <v>812</v>
      </c>
      <c r="F139" s="7" t="s">
        <v>584</v>
      </c>
      <c r="G139" s="7" t="s">
        <v>1599</v>
      </c>
      <c r="H139" s="7" t="s">
        <v>1262</v>
      </c>
      <c r="I139" s="8" t="n">
        <v>0.6</v>
      </c>
      <c r="J139" s="7" t="s">
        <v>347</v>
      </c>
      <c r="K139" s="7" t="s">
        <v>2458</v>
      </c>
      <c r="L139" s="7" t="s">
        <v>2459</v>
      </c>
      <c r="M139" s="7" t="s">
        <v>2433</v>
      </c>
      <c r="N139" s="7" t="s">
        <v>2434</v>
      </c>
      <c r="O139" s="7" t="s">
        <v>2460</v>
      </c>
      <c r="P139" s="7" t="s">
        <v>2461</v>
      </c>
      <c r="Q139" s="7" t="s">
        <v>2488</v>
      </c>
      <c r="R139" s="7"/>
      <c r="S139" s="7"/>
      <c r="T139" s="7" t="s">
        <v>1065</v>
      </c>
      <c r="U139" s="7" t="s">
        <v>2438</v>
      </c>
      <c r="V139" s="7" t="s">
        <v>2439</v>
      </c>
      <c r="W139" s="7" t="s">
        <v>2440</v>
      </c>
      <c r="X139" s="7" t="s">
        <v>2441</v>
      </c>
      <c r="Y139" s="7" t="s">
        <v>2484</v>
      </c>
      <c r="Z139" s="7" t="s">
        <v>2442</v>
      </c>
    </row>
    <row r="140" customFormat="false" ht="158.2" hidden="false" customHeight="false" outlineLevel="0" collapsed="false">
      <c r="A140" s="7" t="s">
        <v>1604</v>
      </c>
      <c r="B140" s="7" t="s">
        <v>97</v>
      </c>
      <c r="C140" s="7" t="s">
        <v>1349</v>
      </c>
      <c r="D140" s="7" t="s">
        <v>1601</v>
      </c>
      <c r="E140" s="7" t="s">
        <v>816</v>
      </c>
      <c r="F140" s="7" t="s">
        <v>584</v>
      </c>
      <c r="G140" s="7" t="s">
        <v>1602</v>
      </c>
      <c r="H140" s="7" t="s">
        <v>1603</v>
      </c>
      <c r="I140" s="8" t="n">
        <v>0.4</v>
      </c>
      <c r="J140" s="7" t="s">
        <v>347</v>
      </c>
      <c r="K140" s="7" t="s">
        <v>2458</v>
      </c>
      <c r="L140" s="7" t="s">
        <v>2459</v>
      </c>
      <c r="M140" s="7" t="s">
        <v>2433</v>
      </c>
      <c r="N140" s="7" t="s">
        <v>2434</v>
      </c>
      <c r="O140" s="7" t="s">
        <v>2460</v>
      </c>
      <c r="P140" s="7" t="s">
        <v>2461</v>
      </c>
      <c r="Q140" s="7" t="s">
        <v>2488</v>
      </c>
      <c r="R140" s="7" t="s">
        <v>2513</v>
      </c>
      <c r="S140" s="7" t="s">
        <v>569</v>
      </c>
      <c r="T140" s="7" t="s">
        <v>568</v>
      </c>
      <c r="U140" s="7" t="s">
        <v>2438</v>
      </c>
      <c r="V140" s="7" t="s">
        <v>2439</v>
      </c>
      <c r="W140" s="7" t="s">
        <v>2440</v>
      </c>
      <c r="X140" s="7" t="s">
        <v>2441</v>
      </c>
      <c r="Y140" s="7" t="s">
        <v>2484</v>
      </c>
      <c r="Z140" s="7" t="s">
        <v>2442</v>
      </c>
    </row>
    <row r="141" customFormat="false" ht="158.2" hidden="false" customHeight="false" outlineLevel="0" collapsed="false">
      <c r="A141" s="7" t="s">
        <v>1610</v>
      </c>
      <c r="B141" s="7" t="s">
        <v>97</v>
      </c>
      <c r="C141" s="7" t="s">
        <v>1349</v>
      </c>
      <c r="D141" s="7" t="s">
        <v>1606</v>
      </c>
      <c r="E141" s="7" t="s">
        <v>1607</v>
      </c>
      <c r="F141" s="7" t="s">
        <v>584</v>
      </c>
      <c r="G141" s="7" t="s">
        <v>1608</v>
      </c>
      <c r="H141" s="7" t="s">
        <v>1609</v>
      </c>
      <c r="I141" s="8" t="n">
        <v>0.6</v>
      </c>
      <c r="J141" s="7" t="s">
        <v>523</v>
      </c>
      <c r="K141" s="7" t="s">
        <v>2468</v>
      </c>
      <c r="L141" s="7" t="s">
        <v>2469</v>
      </c>
      <c r="M141" s="7" t="s">
        <v>2433</v>
      </c>
      <c r="N141" s="7" t="s">
        <v>2434</v>
      </c>
      <c r="O141" s="7" t="s">
        <v>2470</v>
      </c>
      <c r="P141" s="7" t="s">
        <v>2471</v>
      </c>
      <c r="Q141" s="7" t="s">
        <v>2488</v>
      </c>
      <c r="R141" s="7"/>
      <c r="S141" s="7" t="s">
        <v>569</v>
      </c>
      <c r="T141" s="7" t="s">
        <v>568</v>
      </c>
      <c r="U141" s="7" t="s">
        <v>2438</v>
      </c>
      <c r="V141" s="7" t="s">
        <v>2439</v>
      </c>
      <c r="W141" s="7" t="s">
        <v>2440</v>
      </c>
      <c r="X141" s="7" t="s">
        <v>2441</v>
      </c>
      <c r="Y141" s="7" t="s">
        <v>2484</v>
      </c>
      <c r="Z141" s="7" t="s">
        <v>2442</v>
      </c>
    </row>
    <row r="142" customFormat="false" ht="158.2" hidden="false" customHeight="false" outlineLevel="0" collapsed="false">
      <c r="A142" s="7" t="s">
        <v>1615</v>
      </c>
      <c r="B142" s="7" t="s">
        <v>97</v>
      </c>
      <c r="C142" s="7" t="s">
        <v>1349</v>
      </c>
      <c r="D142" s="7" t="s">
        <v>1611</v>
      </c>
      <c r="E142" s="7" t="s">
        <v>1612</v>
      </c>
      <c r="F142" s="7" t="s">
        <v>584</v>
      </c>
      <c r="G142" s="7" t="s">
        <v>1613</v>
      </c>
      <c r="H142" s="7" t="s">
        <v>1614</v>
      </c>
      <c r="I142" s="8" t="n">
        <v>0.1</v>
      </c>
      <c r="J142" s="7" t="s">
        <v>367</v>
      </c>
      <c r="K142" s="7" t="s">
        <v>2463</v>
      </c>
      <c r="L142" s="7" t="s">
        <v>2464</v>
      </c>
      <c r="M142" s="7" t="s">
        <v>2433</v>
      </c>
      <c r="N142" s="7" t="s">
        <v>2434</v>
      </c>
      <c r="O142" s="7" t="s">
        <v>2465</v>
      </c>
      <c r="P142" s="7" t="s">
        <v>2466</v>
      </c>
      <c r="Q142" s="7" t="s">
        <v>2488</v>
      </c>
      <c r="R142" s="7"/>
      <c r="S142" s="7" t="s">
        <v>569</v>
      </c>
      <c r="T142" s="7" t="s">
        <v>568</v>
      </c>
      <c r="U142" s="7" t="s">
        <v>2438</v>
      </c>
      <c r="V142" s="7" t="s">
        <v>2439</v>
      </c>
      <c r="W142" s="7" t="s">
        <v>2440</v>
      </c>
      <c r="X142" s="7" t="s">
        <v>2441</v>
      </c>
      <c r="Y142" s="7" t="s">
        <v>2484</v>
      </c>
      <c r="Z142" s="7" t="s">
        <v>2442</v>
      </c>
    </row>
    <row r="143" customFormat="false" ht="158.2" hidden="false" customHeight="false" outlineLevel="0" collapsed="false">
      <c r="A143" s="7" t="s">
        <v>1620</v>
      </c>
      <c r="B143" s="7" t="s">
        <v>97</v>
      </c>
      <c r="C143" s="7" t="s">
        <v>1349</v>
      </c>
      <c r="D143" s="7" t="s">
        <v>1616</v>
      </c>
      <c r="E143" s="7" t="s">
        <v>1617</v>
      </c>
      <c r="F143" s="7" t="s">
        <v>584</v>
      </c>
      <c r="G143" s="7" t="s">
        <v>1618</v>
      </c>
      <c r="H143" s="7" t="s">
        <v>1619</v>
      </c>
      <c r="I143" s="8" t="n">
        <v>0.1</v>
      </c>
      <c r="J143" s="7" t="s">
        <v>347</v>
      </c>
      <c r="K143" s="7" t="s">
        <v>2458</v>
      </c>
      <c r="L143" s="7" t="s">
        <v>2459</v>
      </c>
      <c r="M143" s="7" t="s">
        <v>2433</v>
      </c>
      <c r="N143" s="7" t="s">
        <v>2434</v>
      </c>
      <c r="O143" s="7" t="s">
        <v>2460</v>
      </c>
      <c r="P143" s="7" t="s">
        <v>2461</v>
      </c>
      <c r="Q143" s="7" t="s">
        <v>2488</v>
      </c>
      <c r="R143" s="7"/>
      <c r="S143" s="7" t="s">
        <v>569</v>
      </c>
      <c r="T143" s="7" t="s">
        <v>568</v>
      </c>
      <c r="U143" s="7" t="s">
        <v>2438</v>
      </c>
      <c r="V143" s="7" t="s">
        <v>2439</v>
      </c>
      <c r="W143" s="7" t="s">
        <v>2440</v>
      </c>
      <c r="X143" s="7" t="s">
        <v>2441</v>
      </c>
      <c r="Y143" s="7" t="s">
        <v>2484</v>
      </c>
      <c r="Z143" s="7" t="s">
        <v>2442</v>
      </c>
    </row>
    <row r="144" customFormat="false" ht="158.2" hidden="false" customHeight="false" outlineLevel="0" collapsed="false">
      <c r="A144" s="7" t="s">
        <v>1625</v>
      </c>
      <c r="B144" s="7" t="s">
        <v>97</v>
      </c>
      <c r="C144" s="7" t="s">
        <v>1349</v>
      </c>
      <c r="D144" s="7" t="s">
        <v>1621</v>
      </c>
      <c r="E144" s="7" t="s">
        <v>1622</v>
      </c>
      <c r="F144" s="7" t="s">
        <v>584</v>
      </c>
      <c r="G144" s="7" t="s">
        <v>1623</v>
      </c>
      <c r="H144" s="7" t="s">
        <v>1624</v>
      </c>
      <c r="I144" s="8" t="n">
        <v>0.5</v>
      </c>
      <c r="J144" s="7" t="s">
        <v>523</v>
      </c>
      <c r="K144" s="7" t="s">
        <v>2468</v>
      </c>
      <c r="L144" s="7" t="s">
        <v>2469</v>
      </c>
      <c r="M144" s="7" t="s">
        <v>2433</v>
      </c>
      <c r="N144" s="7" t="s">
        <v>2434</v>
      </c>
      <c r="O144" s="7" t="s">
        <v>2470</v>
      </c>
      <c r="P144" s="7" t="s">
        <v>2471</v>
      </c>
      <c r="Q144" s="7" t="s">
        <v>2488</v>
      </c>
      <c r="R144" s="7"/>
      <c r="S144" s="7" t="s">
        <v>569</v>
      </c>
      <c r="T144" s="7" t="s">
        <v>628</v>
      </c>
      <c r="U144" s="7" t="s">
        <v>2438</v>
      </c>
      <c r="V144" s="7" t="s">
        <v>2439</v>
      </c>
      <c r="W144" s="7" t="s">
        <v>2440</v>
      </c>
      <c r="X144" s="7" t="s">
        <v>2441</v>
      </c>
      <c r="Y144" s="7" t="s">
        <v>2484</v>
      </c>
      <c r="Z144" s="7" t="s">
        <v>2442</v>
      </c>
    </row>
    <row r="145" customFormat="false" ht="158.2" hidden="false" customHeight="false" outlineLevel="0" collapsed="false">
      <c r="A145" s="7" t="s">
        <v>1630</v>
      </c>
      <c r="B145" s="7" t="s">
        <v>97</v>
      </c>
      <c r="C145" s="7" t="s">
        <v>1349</v>
      </c>
      <c r="D145" s="7" t="s">
        <v>1626</v>
      </c>
      <c r="E145" s="7" t="s">
        <v>1627</v>
      </c>
      <c r="F145" s="7" t="s">
        <v>584</v>
      </c>
      <c r="G145" s="7" t="s">
        <v>1628</v>
      </c>
      <c r="H145" s="7" t="s">
        <v>1629</v>
      </c>
      <c r="I145" s="8" t="n">
        <v>0.2</v>
      </c>
      <c r="J145" s="7" t="s">
        <v>347</v>
      </c>
      <c r="K145" s="7" t="s">
        <v>2458</v>
      </c>
      <c r="L145" s="7" t="s">
        <v>2459</v>
      </c>
      <c r="M145" s="7" t="s">
        <v>2433</v>
      </c>
      <c r="N145" s="7" t="s">
        <v>2434</v>
      </c>
      <c r="O145" s="7" t="s">
        <v>2460</v>
      </c>
      <c r="P145" s="7" t="s">
        <v>2461</v>
      </c>
      <c r="Q145" s="7" t="s">
        <v>2488</v>
      </c>
      <c r="R145" s="7"/>
      <c r="S145" s="7" t="s">
        <v>569</v>
      </c>
      <c r="T145" s="7" t="s">
        <v>568</v>
      </c>
      <c r="U145" s="7" t="s">
        <v>2438</v>
      </c>
      <c r="V145" s="7" t="s">
        <v>2439</v>
      </c>
      <c r="W145" s="7" t="s">
        <v>2440</v>
      </c>
      <c r="X145" s="7" t="s">
        <v>2441</v>
      </c>
      <c r="Y145" s="7" t="s">
        <v>2484</v>
      </c>
      <c r="Z145" s="7" t="s">
        <v>2442</v>
      </c>
    </row>
    <row r="146" customFormat="false" ht="158.2" hidden="false" customHeight="false" outlineLevel="0" collapsed="false">
      <c r="A146" s="7" t="s">
        <v>1635</v>
      </c>
      <c r="B146" s="7" t="s">
        <v>97</v>
      </c>
      <c r="C146" s="7" t="s">
        <v>1349</v>
      </c>
      <c r="D146" s="7" t="s">
        <v>1631</v>
      </c>
      <c r="E146" s="7" t="s">
        <v>1632</v>
      </c>
      <c r="F146" s="7" t="s">
        <v>584</v>
      </c>
      <c r="G146" s="7" t="s">
        <v>1633</v>
      </c>
      <c r="H146" s="7" t="s">
        <v>1634</v>
      </c>
      <c r="I146" s="8" t="n">
        <v>0.3</v>
      </c>
      <c r="J146" s="7" t="s">
        <v>367</v>
      </c>
      <c r="K146" s="7" t="s">
        <v>2463</v>
      </c>
      <c r="L146" s="7" t="s">
        <v>2464</v>
      </c>
      <c r="M146" s="7" t="s">
        <v>2433</v>
      </c>
      <c r="N146" s="7" t="s">
        <v>2434</v>
      </c>
      <c r="O146" s="7" t="s">
        <v>2465</v>
      </c>
      <c r="P146" s="7" t="s">
        <v>2466</v>
      </c>
      <c r="Q146" s="7" t="s">
        <v>2488</v>
      </c>
      <c r="R146" s="7"/>
      <c r="S146" s="7" t="s">
        <v>569</v>
      </c>
      <c r="T146" s="7" t="s">
        <v>568</v>
      </c>
      <c r="U146" s="7" t="s">
        <v>2438</v>
      </c>
      <c r="V146" s="7" t="s">
        <v>2439</v>
      </c>
      <c r="W146" s="7" t="s">
        <v>2440</v>
      </c>
      <c r="X146" s="7" t="s">
        <v>2441</v>
      </c>
      <c r="Y146" s="7" t="s">
        <v>2484</v>
      </c>
      <c r="Z146" s="7" t="s">
        <v>2442</v>
      </c>
    </row>
    <row r="147" customFormat="false" ht="158.2" hidden="false" customHeight="false" outlineLevel="0" collapsed="false">
      <c r="A147" s="7" t="s">
        <v>1640</v>
      </c>
      <c r="B147" s="7" t="s">
        <v>97</v>
      </c>
      <c r="C147" s="7" t="s">
        <v>1349</v>
      </c>
      <c r="D147" s="7" t="s">
        <v>1636</v>
      </c>
      <c r="E147" s="7" t="s">
        <v>1637</v>
      </c>
      <c r="F147" s="7" t="s">
        <v>584</v>
      </c>
      <c r="G147" s="7" t="s">
        <v>1638</v>
      </c>
      <c r="H147" s="7" t="s">
        <v>1639</v>
      </c>
      <c r="I147" s="8" t="n">
        <v>0.5</v>
      </c>
      <c r="J147" s="7" t="s">
        <v>347</v>
      </c>
      <c r="K147" s="7" t="s">
        <v>2458</v>
      </c>
      <c r="L147" s="7" t="s">
        <v>2459</v>
      </c>
      <c r="M147" s="7" t="s">
        <v>2433</v>
      </c>
      <c r="N147" s="7" t="s">
        <v>2434</v>
      </c>
      <c r="O147" s="7" t="s">
        <v>2460</v>
      </c>
      <c r="P147" s="7" t="s">
        <v>2461</v>
      </c>
      <c r="Q147" s="7" t="s">
        <v>2488</v>
      </c>
      <c r="R147" s="7"/>
      <c r="S147" s="7" t="s">
        <v>569</v>
      </c>
      <c r="T147" s="7" t="s">
        <v>568</v>
      </c>
      <c r="U147" s="7" t="s">
        <v>2438</v>
      </c>
      <c r="V147" s="7" t="s">
        <v>2439</v>
      </c>
      <c r="W147" s="7" t="s">
        <v>2440</v>
      </c>
      <c r="X147" s="7" t="s">
        <v>2441</v>
      </c>
      <c r="Y147" s="7" t="s">
        <v>2484</v>
      </c>
      <c r="Z147" s="7" t="s">
        <v>2442</v>
      </c>
    </row>
    <row r="148" customFormat="false" ht="158.2" hidden="false" customHeight="false" outlineLevel="0" collapsed="false">
      <c r="A148" s="7" t="s">
        <v>1645</v>
      </c>
      <c r="B148" s="7" t="s">
        <v>97</v>
      </c>
      <c r="C148" s="7" t="s">
        <v>1349</v>
      </c>
      <c r="D148" s="7" t="s">
        <v>1641</v>
      </c>
      <c r="E148" s="7" t="s">
        <v>1642</v>
      </c>
      <c r="F148" s="7" t="s">
        <v>584</v>
      </c>
      <c r="G148" s="7" t="s">
        <v>1643</v>
      </c>
      <c r="H148" s="7" t="s">
        <v>1644</v>
      </c>
      <c r="I148" s="8" t="n">
        <v>0.1</v>
      </c>
      <c r="J148" s="7" t="s">
        <v>347</v>
      </c>
      <c r="K148" s="7" t="s">
        <v>2458</v>
      </c>
      <c r="L148" s="7" t="s">
        <v>2459</v>
      </c>
      <c r="M148" s="7" t="s">
        <v>2433</v>
      </c>
      <c r="N148" s="7" t="s">
        <v>2434</v>
      </c>
      <c r="O148" s="7" t="s">
        <v>2460</v>
      </c>
      <c r="P148" s="7" t="s">
        <v>2461</v>
      </c>
      <c r="Q148" s="7" t="s">
        <v>2488</v>
      </c>
      <c r="R148" s="7"/>
      <c r="S148" s="7" t="s">
        <v>569</v>
      </c>
      <c r="T148" s="7" t="s">
        <v>568</v>
      </c>
      <c r="U148" s="7" t="s">
        <v>2438</v>
      </c>
      <c r="V148" s="7" t="s">
        <v>2439</v>
      </c>
      <c r="W148" s="7" t="s">
        <v>2440</v>
      </c>
      <c r="X148" s="7" t="s">
        <v>2441</v>
      </c>
      <c r="Y148" s="7" t="s">
        <v>2484</v>
      </c>
      <c r="Z148" s="7" t="s">
        <v>2442</v>
      </c>
    </row>
    <row r="149" customFormat="false" ht="158.2" hidden="false" customHeight="false" outlineLevel="0" collapsed="false">
      <c r="A149" s="7" t="s">
        <v>1650</v>
      </c>
      <c r="B149" s="7" t="s">
        <v>97</v>
      </c>
      <c r="C149" s="7" t="s">
        <v>1349</v>
      </c>
      <c r="D149" s="7" t="s">
        <v>1646</v>
      </c>
      <c r="E149" s="7" t="s">
        <v>1647</v>
      </c>
      <c r="F149" s="7" t="s">
        <v>584</v>
      </c>
      <c r="G149" s="7" t="s">
        <v>1648</v>
      </c>
      <c r="H149" s="7" t="s">
        <v>1649</v>
      </c>
      <c r="I149" s="8" t="n">
        <v>0.5</v>
      </c>
      <c r="J149" s="7" t="s">
        <v>627</v>
      </c>
      <c r="K149" s="7" t="s">
        <v>2495</v>
      </c>
      <c r="L149" s="7" t="s">
        <v>2496</v>
      </c>
      <c r="M149" s="7" t="s">
        <v>2433</v>
      </c>
      <c r="N149" s="7" t="s">
        <v>2434</v>
      </c>
      <c r="O149" s="7" t="s">
        <v>2491</v>
      </c>
      <c r="P149" s="7" t="s">
        <v>2497</v>
      </c>
      <c r="Q149" s="7" t="s">
        <v>2488</v>
      </c>
      <c r="R149" s="7"/>
      <c r="S149" s="7" t="s">
        <v>569</v>
      </c>
      <c r="T149" s="7" t="s">
        <v>568</v>
      </c>
      <c r="U149" s="7" t="s">
        <v>2438</v>
      </c>
      <c r="V149" s="7" t="s">
        <v>2439</v>
      </c>
      <c r="W149" s="7" t="s">
        <v>2440</v>
      </c>
      <c r="X149" s="7" t="s">
        <v>2441</v>
      </c>
      <c r="Y149" s="7" t="s">
        <v>2484</v>
      </c>
      <c r="Z149" s="7" t="s">
        <v>2442</v>
      </c>
    </row>
    <row r="150" customFormat="false" ht="158.2" hidden="false" customHeight="false" outlineLevel="0" collapsed="false">
      <c r="A150" s="7" t="s">
        <v>1655</v>
      </c>
      <c r="B150" s="7" t="s">
        <v>97</v>
      </c>
      <c r="C150" s="7" t="s">
        <v>1349</v>
      </c>
      <c r="D150" s="7" t="s">
        <v>1651</v>
      </c>
      <c r="E150" s="7" t="s">
        <v>1652</v>
      </c>
      <c r="F150" s="7" t="s">
        <v>584</v>
      </c>
      <c r="G150" s="7" t="s">
        <v>1653</v>
      </c>
      <c r="H150" s="7" t="s">
        <v>1654</v>
      </c>
      <c r="I150" s="8" t="n">
        <v>0.3</v>
      </c>
      <c r="J150" s="7" t="s">
        <v>367</v>
      </c>
      <c r="K150" s="7" t="s">
        <v>2463</v>
      </c>
      <c r="L150" s="7" t="s">
        <v>2464</v>
      </c>
      <c r="M150" s="7" t="s">
        <v>2433</v>
      </c>
      <c r="N150" s="7" t="s">
        <v>2434</v>
      </c>
      <c r="O150" s="7" t="s">
        <v>2465</v>
      </c>
      <c r="P150" s="7" t="s">
        <v>2466</v>
      </c>
      <c r="Q150" s="7" t="s">
        <v>2488</v>
      </c>
      <c r="R150" s="7"/>
      <c r="S150" s="7" t="s">
        <v>569</v>
      </c>
      <c r="T150" s="7" t="s">
        <v>568</v>
      </c>
      <c r="U150" s="7" t="s">
        <v>2438</v>
      </c>
      <c r="V150" s="7" t="s">
        <v>2439</v>
      </c>
      <c r="W150" s="7" t="s">
        <v>2440</v>
      </c>
      <c r="X150" s="7" t="s">
        <v>2441</v>
      </c>
      <c r="Y150" s="7" t="s">
        <v>2484</v>
      </c>
      <c r="Z150" s="7" t="s">
        <v>2442</v>
      </c>
    </row>
    <row r="151" customFormat="false" ht="158.2" hidden="false" customHeight="false" outlineLevel="0" collapsed="false">
      <c r="A151" s="7" t="s">
        <v>1660</v>
      </c>
      <c r="B151" s="7" t="s">
        <v>97</v>
      </c>
      <c r="C151" s="7" t="s">
        <v>1349</v>
      </c>
      <c r="D151" s="7" t="s">
        <v>1656</v>
      </c>
      <c r="E151" s="7" t="s">
        <v>1657</v>
      </c>
      <c r="F151" s="7" t="s">
        <v>584</v>
      </c>
      <c r="G151" s="7" t="s">
        <v>1658</v>
      </c>
      <c r="H151" s="7" t="s">
        <v>1659</v>
      </c>
      <c r="I151" s="8" t="n">
        <v>0.5</v>
      </c>
      <c r="J151" s="7" t="s">
        <v>523</v>
      </c>
      <c r="K151" s="7" t="s">
        <v>2468</v>
      </c>
      <c r="L151" s="7" t="s">
        <v>2469</v>
      </c>
      <c r="M151" s="7" t="s">
        <v>2433</v>
      </c>
      <c r="N151" s="7" t="s">
        <v>2434</v>
      </c>
      <c r="O151" s="7" t="s">
        <v>2470</v>
      </c>
      <c r="P151" s="7" t="s">
        <v>2471</v>
      </c>
      <c r="Q151" s="7" t="s">
        <v>2488</v>
      </c>
      <c r="R151" s="7"/>
      <c r="S151" s="7" t="s">
        <v>569</v>
      </c>
      <c r="T151" s="7" t="s">
        <v>568</v>
      </c>
      <c r="U151" s="7" t="s">
        <v>2438</v>
      </c>
      <c r="V151" s="7" t="s">
        <v>2439</v>
      </c>
      <c r="W151" s="7" t="s">
        <v>2440</v>
      </c>
      <c r="X151" s="7" t="s">
        <v>2441</v>
      </c>
      <c r="Y151" s="7" t="s">
        <v>2484</v>
      </c>
      <c r="Z151" s="7" t="s">
        <v>2442</v>
      </c>
    </row>
    <row r="152" customFormat="false" ht="158.2" hidden="false" customHeight="false" outlineLevel="0" collapsed="false">
      <c r="A152" s="7" t="s">
        <v>1665</v>
      </c>
      <c r="B152" s="7" t="s">
        <v>97</v>
      </c>
      <c r="C152" s="7" t="s">
        <v>1349</v>
      </c>
      <c r="D152" s="7" t="s">
        <v>1661</v>
      </c>
      <c r="E152" s="7" t="s">
        <v>1662</v>
      </c>
      <c r="F152" s="7" t="s">
        <v>584</v>
      </c>
      <c r="G152" s="7" t="s">
        <v>1663</v>
      </c>
      <c r="H152" s="7" t="s">
        <v>1664</v>
      </c>
      <c r="I152" s="8" t="n">
        <v>0.1</v>
      </c>
      <c r="J152" s="7" t="s">
        <v>523</v>
      </c>
      <c r="K152" s="7" t="s">
        <v>2468</v>
      </c>
      <c r="L152" s="7" t="s">
        <v>2469</v>
      </c>
      <c r="M152" s="7" t="s">
        <v>2433</v>
      </c>
      <c r="N152" s="7" t="s">
        <v>2434</v>
      </c>
      <c r="O152" s="7" t="s">
        <v>2470</v>
      </c>
      <c r="P152" s="7" t="s">
        <v>2471</v>
      </c>
      <c r="Q152" s="7" t="s">
        <v>2488</v>
      </c>
      <c r="R152" s="7"/>
      <c r="S152" s="7" t="s">
        <v>569</v>
      </c>
      <c r="T152" s="7" t="s">
        <v>568</v>
      </c>
      <c r="U152" s="7" t="s">
        <v>2438</v>
      </c>
      <c r="V152" s="7" t="s">
        <v>2439</v>
      </c>
      <c r="W152" s="7" t="s">
        <v>2440</v>
      </c>
      <c r="X152" s="7" t="s">
        <v>2441</v>
      </c>
      <c r="Y152" s="7" t="s">
        <v>2484</v>
      </c>
      <c r="Z152" s="7" t="s">
        <v>2442</v>
      </c>
    </row>
    <row r="153" customFormat="false" ht="158.2" hidden="false" customHeight="false" outlineLevel="0" collapsed="false">
      <c r="A153" s="7" t="s">
        <v>1670</v>
      </c>
      <c r="B153" s="7" t="s">
        <v>97</v>
      </c>
      <c r="C153" s="7" t="s">
        <v>1349</v>
      </c>
      <c r="D153" s="7" t="s">
        <v>1666</v>
      </c>
      <c r="E153" s="7" t="s">
        <v>1667</v>
      </c>
      <c r="F153" s="7" t="s">
        <v>584</v>
      </c>
      <c r="G153" s="7" t="s">
        <v>1668</v>
      </c>
      <c r="H153" s="7" t="s">
        <v>1669</v>
      </c>
      <c r="I153" s="8" t="n">
        <v>0.1</v>
      </c>
      <c r="J153" s="7" t="s">
        <v>367</v>
      </c>
      <c r="K153" s="7" t="s">
        <v>2463</v>
      </c>
      <c r="L153" s="7" t="s">
        <v>2464</v>
      </c>
      <c r="M153" s="7" t="s">
        <v>2433</v>
      </c>
      <c r="N153" s="7" t="s">
        <v>2434</v>
      </c>
      <c r="O153" s="7" t="s">
        <v>2465</v>
      </c>
      <c r="P153" s="7" t="s">
        <v>2466</v>
      </c>
      <c r="Q153" s="7" t="s">
        <v>2488</v>
      </c>
      <c r="R153" s="7"/>
      <c r="S153" s="7" t="s">
        <v>569</v>
      </c>
      <c r="T153" s="7" t="s">
        <v>568</v>
      </c>
      <c r="U153" s="7" t="s">
        <v>2438</v>
      </c>
      <c r="V153" s="7" t="s">
        <v>2439</v>
      </c>
      <c r="W153" s="7" t="s">
        <v>2440</v>
      </c>
      <c r="X153" s="7" t="s">
        <v>2441</v>
      </c>
      <c r="Y153" s="7" t="s">
        <v>2484</v>
      </c>
      <c r="Z153" s="7" t="s">
        <v>2442</v>
      </c>
    </row>
    <row r="154" customFormat="false" ht="158.2" hidden="false" customHeight="false" outlineLevel="0" collapsed="false">
      <c r="A154" s="7" t="s">
        <v>1675</v>
      </c>
      <c r="B154" s="7" t="s">
        <v>97</v>
      </c>
      <c r="C154" s="7" t="s">
        <v>1349</v>
      </c>
      <c r="D154" s="7" t="s">
        <v>1671</v>
      </c>
      <c r="E154" s="7" t="s">
        <v>1672</v>
      </c>
      <c r="F154" s="7" t="s">
        <v>584</v>
      </c>
      <c r="G154" s="7" t="s">
        <v>1673</v>
      </c>
      <c r="H154" s="7" t="s">
        <v>1674</v>
      </c>
      <c r="I154" s="8" t="n">
        <v>0.1</v>
      </c>
      <c r="J154" s="7" t="s">
        <v>367</v>
      </c>
      <c r="K154" s="7" t="s">
        <v>2463</v>
      </c>
      <c r="L154" s="7" t="s">
        <v>2464</v>
      </c>
      <c r="M154" s="7" t="s">
        <v>2433</v>
      </c>
      <c r="N154" s="7" t="s">
        <v>2434</v>
      </c>
      <c r="O154" s="7" t="s">
        <v>2465</v>
      </c>
      <c r="P154" s="7" t="s">
        <v>2466</v>
      </c>
      <c r="Q154" s="7" t="s">
        <v>2488</v>
      </c>
      <c r="R154" s="7"/>
      <c r="S154" s="7" t="s">
        <v>569</v>
      </c>
      <c r="T154" s="7" t="s">
        <v>568</v>
      </c>
      <c r="U154" s="7" t="s">
        <v>2438</v>
      </c>
      <c r="V154" s="7" t="s">
        <v>2439</v>
      </c>
      <c r="W154" s="7" t="s">
        <v>2440</v>
      </c>
      <c r="X154" s="7" t="s">
        <v>2441</v>
      </c>
      <c r="Y154" s="7" t="s">
        <v>2484</v>
      </c>
      <c r="Z154" s="7" t="s">
        <v>2442</v>
      </c>
    </row>
    <row r="155" customFormat="false" ht="158.2" hidden="false" customHeight="false" outlineLevel="0" collapsed="false">
      <c r="A155" s="7" t="s">
        <v>1680</v>
      </c>
      <c r="B155" s="7" t="s">
        <v>97</v>
      </c>
      <c r="C155" s="7" t="s">
        <v>1349</v>
      </c>
      <c r="D155" s="7" t="s">
        <v>1676</v>
      </c>
      <c r="E155" s="7" t="s">
        <v>1677</v>
      </c>
      <c r="F155" s="7" t="s">
        <v>584</v>
      </c>
      <c r="G155" s="7" t="s">
        <v>1678</v>
      </c>
      <c r="H155" s="7" t="s">
        <v>1679</v>
      </c>
      <c r="I155" s="8" t="n">
        <v>3</v>
      </c>
      <c r="J155" s="7" t="s">
        <v>367</v>
      </c>
      <c r="K155" s="7" t="s">
        <v>2463</v>
      </c>
      <c r="L155" s="7" t="s">
        <v>2464</v>
      </c>
      <c r="M155" s="7" t="s">
        <v>2433</v>
      </c>
      <c r="N155" s="7" t="s">
        <v>2434</v>
      </c>
      <c r="O155" s="7" t="s">
        <v>2465</v>
      </c>
      <c r="P155" s="7" t="s">
        <v>2466</v>
      </c>
      <c r="Q155" s="7" t="s">
        <v>2488</v>
      </c>
      <c r="R155" s="7"/>
      <c r="S155" s="7" t="s">
        <v>557</v>
      </c>
      <c r="T155" s="7" t="s">
        <v>556</v>
      </c>
      <c r="U155" s="7" t="s">
        <v>2438</v>
      </c>
      <c r="V155" s="7" t="s">
        <v>2439</v>
      </c>
      <c r="W155" s="7" t="s">
        <v>2440</v>
      </c>
      <c r="X155" s="7" t="s">
        <v>2441</v>
      </c>
      <c r="Y155" s="7" t="s">
        <v>2484</v>
      </c>
      <c r="Z155" s="7" t="s">
        <v>2442</v>
      </c>
    </row>
    <row r="156" customFormat="false" ht="158.2" hidden="false" customHeight="false" outlineLevel="0" collapsed="false">
      <c r="A156" s="7" t="s">
        <v>1685</v>
      </c>
      <c r="B156" s="7" t="s">
        <v>97</v>
      </c>
      <c r="C156" s="7" t="s">
        <v>1349</v>
      </c>
      <c r="D156" s="7" t="s">
        <v>1682</v>
      </c>
      <c r="E156" s="7" t="s">
        <v>833</v>
      </c>
      <c r="F156" s="7" t="s">
        <v>594</v>
      </c>
      <c r="G156" s="7" t="s">
        <v>1683</v>
      </c>
      <c r="H156" s="7" t="s">
        <v>1684</v>
      </c>
      <c r="I156" s="8" t="n">
        <v>0.2</v>
      </c>
      <c r="J156" s="7" t="s">
        <v>598</v>
      </c>
      <c r="K156" s="7" t="s">
        <v>2489</v>
      </c>
      <c r="L156" s="7" t="s">
        <v>2490</v>
      </c>
      <c r="M156" s="7" t="s">
        <v>2433</v>
      </c>
      <c r="N156" s="7" t="s">
        <v>2434</v>
      </c>
      <c r="O156" s="7" t="s">
        <v>2491</v>
      </c>
      <c r="P156" s="7" t="s">
        <v>2492</v>
      </c>
      <c r="Q156" s="7" t="s">
        <v>2493</v>
      </c>
      <c r="R156" s="7"/>
      <c r="S156" s="7" t="s">
        <v>569</v>
      </c>
      <c r="T156" s="7" t="s">
        <v>568</v>
      </c>
      <c r="U156" s="7" t="s">
        <v>2438</v>
      </c>
      <c r="V156" s="7" t="s">
        <v>2439</v>
      </c>
      <c r="W156" s="7" t="s">
        <v>2440</v>
      </c>
      <c r="X156" s="7" t="s">
        <v>2441</v>
      </c>
      <c r="Y156" s="7" t="s">
        <v>2484</v>
      </c>
      <c r="Z156" s="7" t="s">
        <v>2442</v>
      </c>
    </row>
    <row r="157" customFormat="false" ht="158.2" hidden="false" customHeight="false" outlineLevel="0" collapsed="false">
      <c r="A157" s="7" t="s">
        <v>1689</v>
      </c>
      <c r="B157" s="7" t="s">
        <v>97</v>
      </c>
      <c r="C157" s="7" t="s">
        <v>1349</v>
      </c>
      <c r="D157" s="7" t="s">
        <v>1686</v>
      </c>
      <c r="E157" s="7" t="s">
        <v>838</v>
      </c>
      <c r="F157" s="7" t="s">
        <v>594</v>
      </c>
      <c r="G157" s="7" t="s">
        <v>1687</v>
      </c>
      <c r="H157" s="7" t="s">
        <v>1688</v>
      </c>
      <c r="I157" s="8" t="n">
        <v>0.2</v>
      </c>
      <c r="J157" s="7" t="s">
        <v>598</v>
      </c>
      <c r="K157" s="7" t="s">
        <v>2489</v>
      </c>
      <c r="L157" s="7" t="s">
        <v>2490</v>
      </c>
      <c r="M157" s="7" t="s">
        <v>2433</v>
      </c>
      <c r="N157" s="7" t="s">
        <v>2434</v>
      </c>
      <c r="O157" s="7" t="s">
        <v>2491</v>
      </c>
      <c r="P157" s="7" t="s">
        <v>2492</v>
      </c>
      <c r="Q157" s="7" t="s">
        <v>2493</v>
      </c>
      <c r="R157" s="7"/>
      <c r="S157" s="7" t="s">
        <v>569</v>
      </c>
      <c r="T157" s="7" t="s">
        <v>568</v>
      </c>
      <c r="U157" s="7" t="s">
        <v>2438</v>
      </c>
      <c r="V157" s="7" t="s">
        <v>2439</v>
      </c>
      <c r="W157" s="7" t="s">
        <v>2440</v>
      </c>
      <c r="X157" s="7" t="s">
        <v>2441</v>
      </c>
      <c r="Y157" s="7" t="s">
        <v>2484</v>
      </c>
      <c r="Z157" s="7" t="s">
        <v>2442</v>
      </c>
    </row>
    <row r="158" customFormat="false" ht="158.2" hidden="false" customHeight="false" outlineLevel="0" collapsed="false">
      <c r="A158" s="7" t="s">
        <v>1694</v>
      </c>
      <c r="B158" s="7" t="s">
        <v>97</v>
      </c>
      <c r="C158" s="7" t="s">
        <v>1349</v>
      </c>
      <c r="D158" s="7" t="s">
        <v>1690</v>
      </c>
      <c r="E158" s="7" t="s">
        <v>1691</v>
      </c>
      <c r="F158" s="7" t="s">
        <v>594</v>
      </c>
      <c r="G158" s="7" t="s">
        <v>1692</v>
      </c>
      <c r="H158" s="7" t="s">
        <v>1693</v>
      </c>
      <c r="I158" s="8" t="n">
        <v>0.2</v>
      </c>
      <c r="J158" s="7" t="s">
        <v>598</v>
      </c>
      <c r="K158" s="7" t="s">
        <v>2489</v>
      </c>
      <c r="L158" s="7" t="s">
        <v>2490</v>
      </c>
      <c r="M158" s="7" t="s">
        <v>2433</v>
      </c>
      <c r="N158" s="7" t="s">
        <v>2434</v>
      </c>
      <c r="O158" s="7" t="s">
        <v>2491</v>
      </c>
      <c r="P158" s="7" t="s">
        <v>2492</v>
      </c>
      <c r="Q158" s="7" t="s">
        <v>2493</v>
      </c>
      <c r="R158" s="7"/>
      <c r="S158" s="7" t="s">
        <v>569</v>
      </c>
      <c r="T158" s="7" t="s">
        <v>568</v>
      </c>
      <c r="U158" s="7" t="s">
        <v>2438</v>
      </c>
      <c r="V158" s="7" t="s">
        <v>2439</v>
      </c>
      <c r="W158" s="7" t="s">
        <v>2440</v>
      </c>
      <c r="X158" s="7" t="s">
        <v>2441</v>
      </c>
      <c r="Y158" s="7" t="s">
        <v>2484</v>
      </c>
      <c r="Z158" s="7" t="s">
        <v>2442</v>
      </c>
    </row>
    <row r="159" customFormat="false" ht="158.2" hidden="false" customHeight="false" outlineLevel="0" collapsed="false">
      <c r="A159" s="7" t="s">
        <v>1699</v>
      </c>
      <c r="B159" s="7" t="s">
        <v>97</v>
      </c>
      <c r="C159" s="7" t="s">
        <v>1349</v>
      </c>
      <c r="D159" s="7" t="s">
        <v>1695</v>
      </c>
      <c r="E159" s="7" t="s">
        <v>1696</v>
      </c>
      <c r="F159" s="7" t="s">
        <v>594</v>
      </c>
      <c r="G159" s="7" t="s">
        <v>1697</v>
      </c>
      <c r="H159" s="7" t="s">
        <v>1698</v>
      </c>
      <c r="I159" s="8" t="n">
        <v>0.1</v>
      </c>
      <c r="J159" s="7" t="s">
        <v>598</v>
      </c>
      <c r="K159" s="7" t="s">
        <v>2489</v>
      </c>
      <c r="L159" s="7" t="s">
        <v>2490</v>
      </c>
      <c r="M159" s="7" t="s">
        <v>2433</v>
      </c>
      <c r="N159" s="7" t="s">
        <v>2434</v>
      </c>
      <c r="O159" s="7" t="s">
        <v>2491</v>
      </c>
      <c r="P159" s="7" t="s">
        <v>2492</v>
      </c>
      <c r="Q159" s="7" t="s">
        <v>2493</v>
      </c>
      <c r="R159" s="7"/>
      <c r="S159" s="7" t="s">
        <v>569</v>
      </c>
      <c r="T159" s="7" t="s">
        <v>568</v>
      </c>
      <c r="U159" s="7" t="s">
        <v>2438</v>
      </c>
      <c r="V159" s="7" t="s">
        <v>2439</v>
      </c>
      <c r="W159" s="7" t="s">
        <v>2440</v>
      </c>
      <c r="X159" s="7" t="s">
        <v>2441</v>
      </c>
      <c r="Y159" s="7" t="s">
        <v>2484</v>
      </c>
      <c r="Z159" s="7" t="s">
        <v>2442</v>
      </c>
    </row>
    <row r="160" customFormat="false" ht="158.2" hidden="false" customHeight="false" outlineLevel="0" collapsed="false">
      <c r="A160" s="7" t="s">
        <v>1704</v>
      </c>
      <c r="B160" s="7" t="s">
        <v>97</v>
      </c>
      <c r="C160" s="7" t="s">
        <v>1349</v>
      </c>
      <c r="D160" s="7" t="s">
        <v>1700</v>
      </c>
      <c r="E160" s="7" t="s">
        <v>1701</v>
      </c>
      <c r="F160" s="7" t="s">
        <v>594</v>
      </c>
      <c r="G160" s="7" t="s">
        <v>1702</v>
      </c>
      <c r="H160" s="7" t="s">
        <v>1703</v>
      </c>
      <c r="I160" s="8" t="n">
        <v>0.5</v>
      </c>
      <c r="J160" s="7" t="s">
        <v>598</v>
      </c>
      <c r="K160" s="7" t="s">
        <v>2489</v>
      </c>
      <c r="L160" s="7" t="s">
        <v>2490</v>
      </c>
      <c r="M160" s="7" t="s">
        <v>2433</v>
      </c>
      <c r="N160" s="7" t="s">
        <v>2434</v>
      </c>
      <c r="O160" s="7" t="s">
        <v>2491</v>
      </c>
      <c r="P160" s="7" t="s">
        <v>2492</v>
      </c>
      <c r="Q160" s="7" t="s">
        <v>2493</v>
      </c>
      <c r="R160" s="7"/>
      <c r="S160" s="7" t="s">
        <v>569</v>
      </c>
      <c r="T160" s="7" t="s">
        <v>568</v>
      </c>
      <c r="U160" s="7" t="s">
        <v>2438</v>
      </c>
      <c r="V160" s="7" t="s">
        <v>2439</v>
      </c>
      <c r="W160" s="7" t="s">
        <v>2440</v>
      </c>
      <c r="X160" s="7" t="s">
        <v>2441</v>
      </c>
      <c r="Y160" s="7" t="s">
        <v>2484</v>
      </c>
      <c r="Z160" s="7" t="s">
        <v>2442</v>
      </c>
    </row>
    <row r="161" customFormat="false" ht="158.2" hidden="false" customHeight="false" outlineLevel="0" collapsed="false">
      <c r="A161" s="7" t="s">
        <v>1708</v>
      </c>
      <c r="B161" s="7" t="s">
        <v>97</v>
      </c>
      <c r="C161" s="7" t="s">
        <v>1349</v>
      </c>
      <c r="D161" s="7" t="s">
        <v>1705</v>
      </c>
      <c r="E161" s="7" t="s">
        <v>841</v>
      </c>
      <c r="F161" s="7" t="s">
        <v>594</v>
      </c>
      <c r="G161" s="7" t="s">
        <v>1706</v>
      </c>
      <c r="H161" s="7" t="s">
        <v>1707</v>
      </c>
      <c r="I161" s="8" t="n">
        <v>0.3</v>
      </c>
      <c r="J161" s="7" t="s">
        <v>598</v>
      </c>
      <c r="K161" s="7" t="s">
        <v>2489</v>
      </c>
      <c r="L161" s="7" t="s">
        <v>2490</v>
      </c>
      <c r="M161" s="7" t="s">
        <v>2433</v>
      </c>
      <c r="N161" s="7" t="s">
        <v>2434</v>
      </c>
      <c r="O161" s="7" t="s">
        <v>2491</v>
      </c>
      <c r="P161" s="7" t="s">
        <v>2492</v>
      </c>
      <c r="Q161" s="7" t="s">
        <v>2493</v>
      </c>
      <c r="R161" s="7"/>
      <c r="S161" s="7" t="s">
        <v>557</v>
      </c>
      <c r="T161" s="7" t="s">
        <v>556</v>
      </c>
      <c r="U161" s="7" t="s">
        <v>2438</v>
      </c>
      <c r="V161" s="7" t="s">
        <v>2439</v>
      </c>
      <c r="W161" s="7" t="s">
        <v>2440</v>
      </c>
      <c r="X161" s="7" t="s">
        <v>2441</v>
      </c>
      <c r="Y161" s="7" t="s">
        <v>2484</v>
      </c>
      <c r="Z161" s="7" t="s">
        <v>2442</v>
      </c>
    </row>
    <row r="162" customFormat="false" ht="158.2" hidden="false" customHeight="false" outlineLevel="0" collapsed="false">
      <c r="A162" s="7" t="s">
        <v>1713</v>
      </c>
      <c r="B162" s="7" t="s">
        <v>97</v>
      </c>
      <c r="C162" s="7" t="s">
        <v>1349</v>
      </c>
      <c r="D162" s="7" t="s">
        <v>1709</v>
      </c>
      <c r="E162" s="7" t="s">
        <v>1710</v>
      </c>
      <c r="F162" s="7" t="s">
        <v>594</v>
      </c>
      <c r="G162" s="7" t="s">
        <v>1711</v>
      </c>
      <c r="H162" s="7" t="s">
        <v>1712</v>
      </c>
      <c r="I162" s="8" t="n">
        <v>0.1</v>
      </c>
      <c r="J162" s="7" t="s">
        <v>598</v>
      </c>
      <c r="K162" s="7" t="s">
        <v>2489</v>
      </c>
      <c r="L162" s="7" t="s">
        <v>2490</v>
      </c>
      <c r="M162" s="7" t="s">
        <v>2433</v>
      </c>
      <c r="N162" s="7" t="s">
        <v>2434</v>
      </c>
      <c r="O162" s="7" t="s">
        <v>2491</v>
      </c>
      <c r="P162" s="7" t="s">
        <v>2492</v>
      </c>
      <c r="Q162" s="7" t="s">
        <v>2493</v>
      </c>
      <c r="R162" s="7"/>
      <c r="S162" s="7" t="s">
        <v>557</v>
      </c>
      <c r="T162" s="7" t="s">
        <v>556</v>
      </c>
      <c r="U162" s="7" t="s">
        <v>2438</v>
      </c>
      <c r="V162" s="7" t="s">
        <v>2439</v>
      </c>
      <c r="W162" s="7" t="s">
        <v>2440</v>
      </c>
      <c r="X162" s="7" t="s">
        <v>2441</v>
      </c>
      <c r="Y162" s="7" t="s">
        <v>2484</v>
      </c>
      <c r="Z162" s="7" t="s">
        <v>2442</v>
      </c>
    </row>
    <row r="163" customFormat="false" ht="158.2" hidden="false" customHeight="false" outlineLevel="0" collapsed="false">
      <c r="A163" s="7" t="s">
        <v>1718</v>
      </c>
      <c r="B163" s="7" t="s">
        <v>97</v>
      </c>
      <c r="C163" s="7" t="s">
        <v>1349</v>
      </c>
      <c r="D163" s="7" t="s">
        <v>1714</v>
      </c>
      <c r="E163" s="7" t="s">
        <v>1715</v>
      </c>
      <c r="F163" s="7" t="s">
        <v>594</v>
      </c>
      <c r="G163" s="7" t="s">
        <v>1716</v>
      </c>
      <c r="H163" s="7" t="s">
        <v>1717</v>
      </c>
      <c r="I163" s="8" t="n">
        <v>0.1</v>
      </c>
      <c r="J163" s="7" t="s">
        <v>598</v>
      </c>
      <c r="K163" s="7" t="s">
        <v>2489</v>
      </c>
      <c r="L163" s="7" t="s">
        <v>2490</v>
      </c>
      <c r="M163" s="7" t="s">
        <v>2433</v>
      </c>
      <c r="N163" s="7" t="s">
        <v>2434</v>
      </c>
      <c r="O163" s="7" t="s">
        <v>2491</v>
      </c>
      <c r="P163" s="7" t="s">
        <v>2492</v>
      </c>
      <c r="Q163" s="7" t="s">
        <v>2493</v>
      </c>
      <c r="R163" s="7"/>
      <c r="S163" s="7" t="s">
        <v>557</v>
      </c>
      <c r="T163" s="7" t="s">
        <v>556</v>
      </c>
      <c r="U163" s="7" t="s">
        <v>2438</v>
      </c>
      <c r="V163" s="7" t="s">
        <v>2439</v>
      </c>
      <c r="W163" s="7" t="s">
        <v>2440</v>
      </c>
      <c r="X163" s="7" t="s">
        <v>2441</v>
      </c>
      <c r="Y163" s="7" t="s">
        <v>2484</v>
      </c>
      <c r="Z163" s="7" t="s">
        <v>2442</v>
      </c>
    </row>
    <row r="164" customFormat="false" ht="158.2" hidden="false" customHeight="false" outlineLevel="0" collapsed="false">
      <c r="A164" s="7" t="s">
        <v>1723</v>
      </c>
      <c r="B164" s="7" t="s">
        <v>97</v>
      </c>
      <c r="C164" s="7" t="s">
        <v>1349</v>
      </c>
      <c r="D164" s="7" t="s">
        <v>1719</v>
      </c>
      <c r="E164" s="7" t="s">
        <v>1720</v>
      </c>
      <c r="F164" s="7" t="s">
        <v>594</v>
      </c>
      <c r="G164" s="7" t="s">
        <v>1721</v>
      </c>
      <c r="H164" s="7" t="s">
        <v>1722</v>
      </c>
      <c r="I164" s="8" t="n">
        <v>0.6</v>
      </c>
      <c r="J164" s="7" t="s">
        <v>598</v>
      </c>
      <c r="K164" s="7" t="s">
        <v>2489</v>
      </c>
      <c r="L164" s="7" t="s">
        <v>2490</v>
      </c>
      <c r="M164" s="7" t="s">
        <v>2433</v>
      </c>
      <c r="N164" s="7" t="s">
        <v>2434</v>
      </c>
      <c r="O164" s="7" t="s">
        <v>2491</v>
      </c>
      <c r="P164" s="7" t="s">
        <v>2492</v>
      </c>
      <c r="Q164" s="7" t="s">
        <v>2493</v>
      </c>
      <c r="R164" s="7"/>
      <c r="S164" s="7" t="s">
        <v>557</v>
      </c>
      <c r="T164" s="7" t="s">
        <v>556</v>
      </c>
      <c r="U164" s="7" t="s">
        <v>2438</v>
      </c>
      <c r="V164" s="7" t="s">
        <v>2439</v>
      </c>
      <c r="W164" s="7" t="s">
        <v>2440</v>
      </c>
      <c r="X164" s="7" t="s">
        <v>2441</v>
      </c>
      <c r="Y164" s="7" t="s">
        <v>2484</v>
      </c>
      <c r="Z164" s="7" t="s">
        <v>2442</v>
      </c>
    </row>
    <row r="165" customFormat="false" ht="158.2" hidden="false" customHeight="false" outlineLevel="0" collapsed="false">
      <c r="A165" s="7" t="s">
        <v>1728</v>
      </c>
      <c r="B165" s="7" t="s">
        <v>97</v>
      </c>
      <c r="C165" s="7" t="s">
        <v>1349</v>
      </c>
      <c r="D165" s="7" t="s">
        <v>1724</v>
      </c>
      <c r="E165" s="7" t="s">
        <v>1725</v>
      </c>
      <c r="F165" s="7" t="s">
        <v>594</v>
      </c>
      <c r="G165" s="7" t="s">
        <v>1726</v>
      </c>
      <c r="H165" s="7" t="s">
        <v>1727</v>
      </c>
      <c r="I165" s="8" t="n">
        <v>0.6</v>
      </c>
      <c r="J165" s="7" t="s">
        <v>598</v>
      </c>
      <c r="K165" s="7" t="s">
        <v>2489</v>
      </c>
      <c r="L165" s="7" t="s">
        <v>2490</v>
      </c>
      <c r="M165" s="7" t="s">
        <v>2433</v>
      </c>
      <c r="N165" s="7" t="s">
        <v>2434</v>
      </c>
      <c r="O165" s="7" t="s">
        <v>2491</v>
      </c>
      <c r="P165" s="7" t="s">
        <v>2492</v>
      </c>
      <c r="Q165" s="7" t="s">
        <v>2493</v>
      </c>
      <c r="R165" s="7"/>
      <c r="S165" s="7" t="s">
        <v>557</v>
      </c>
      <c r="T165" s="7" t="s">
        <v>556</v>
      </c>
      <c r="U165" s="7" t="s">
        <v>2438</v>
      </c>
      <c r="V165" s="7" t="s">
        <v>2439</v>
      </c>
      <c r="W165" s="7" t="s">
        <v>2440</v>
      </c>
      <c r="X165" s="7" t="s">
        <v>2441</v>
      </c>
      <c r="Y165" s="7" t="s">
        <v>2484</v>
      </c>
      <c r="Z165" s="7" t="s">
        <v>2442</v>
      </c>
    </row>
    <row r="166" customFormat="false" ht="158.2" hidden="false" customHeight="false" outlineLevel="0" collapsed="false">
      <c r="A166" s="7" t="s">
        <v>1733</v>
      </c>
      <c r="B166" s="7" t="s">
        <v>97</v>
      </c>
      <c r="C166" s="7" t="s">
        <v>1349</v>
      </c>
      <c r="D166" s="7" t="s">
        <v>1729</v>
      </c>
      <c r="E166" s="7" t="s">
        <v>1730</v>
      </c>
      <c r="F166" s="7" t="s">
        <v>594</v>
      </c>
      <c r="G166" s="7" t="s">
        <v>1731</v>
      </c>
      <c r="H166" s="7" t="s">
        <v>1732</v>
      </c>
      <c r="I166" s="8" t="n">
        <v>0.1</v>
      </c>
      <c r="J166" s="7" t="s">
        <v>598</v>
      </c>
      <c r="K166" s="7" t="s">
        <v>2489</v>
      </c>
      <c r="L166" s="7" t="s">
        <v>2490</v>
      </c>
      <c r="M166" s="7" t="s">
        <v>2433</v>
      </c>
      <c r="N166" s="7" t="s">
        <v>2434</v>
      </c>
      <c r="O166" s="7" t="s">
        <v>2491</v>
      </c>
      <c r="P166" s="7" t="s">
        <v>2492</v>
      </c>
      <c r="Q166" s="7" t="s">
        <v>2493</v>
      </c>
      <c r="R166" s="7"/>
      <c r="S166" s="7" t="s">
        <v>557</v>
      </c>
      <c r="T166" s="7" t="s">
        <v>556</v>
      </c>
      <c r="U166" s="7" t="s">
        <v>2438</v>
      </c>
      <c r="V166" s="7" t="s">
        <v>2439</v>
      </c>
      <c r="W166" s="7" t="s">
        <v>2440</v>
      </c>
      <c r="X166" s="7" t="s">
        <v>2441</v>
      </c>
      <c r="Y166" s="7" t="s">
        <v>2484</v>
      </c>
      <c r="Z166" s="7" t="s">
        <v>2442</v>
      </c>
    </row>
    <row r="167" customFormat="false" ht="158.2" hidden="false" customHeight="false" outlineLevel="0" collapsed="false">
      <c r="A167" s="7" t="s">
        <v>1739</v>
      </c>
      <c r="B167" s="7" t="s">
        <v>97</v>
      </c>
      <c r="C167" s="7" t="s">
        <v>1349</v>
      </c>
      <c r="D167" s="7" t="s">
        <v>1735</v>
      </c>
      <c r="E167" s="7" t="s">
        <v>1736</v>
      </c>
      <c r="F167" s="7" t="s">
        <v>594</v>
      </c>
      <c r="G167" s="7" t="s">
        <v>1737</v>
      </c>
      <c r="H167" s="7" t="s">
        <v>1738</v>
      </c>
      <c r="I167" s="8" t="n">
        <v>0.6</v>
      </c>
      <c r="J167" s="7" t="s">
        <v>598</v>
      </c>
      <c r="K167" s="7" t="s">
        <v>2489</v>
      </c>
      <c r="L167" s="7" t="s">
        <v>2490</v>
      </c>
      <c r="M167" s="7" t="s">
        <v>2433</v>
      </c>
      <c r="N167" s="7" t="s">
        <v>2434</v>
      </c>
      <c r="O167" s="7" t="s">
        <v>2491</v>
      </c>
      <c r="P167" s="7" t="s">
        <v>2492</v>
      </c>
      <c r="Q167" s="7" t="s">
        <v>2493</v>
      </c>
      <c r="R167" s="7"/>
      <c r="S167" s="7" t="s">
        <v>557</v>
      </c>
      <c r="T167" s="7" t="s">
        <v>556</v>
      </c>
      <c r="U167" s="7" t="s">
        <v>2438</v>
      </c>
      <c r="V167" s="7" t="s">
        <v>2439</v>
      </c>
      <c r="W167" s="7" t="s">
        <v>2440</v>
      </c>
      <c r="X167" s="7" t="s">
        <v>2441</v>
      </c>
      <c r="Y167" s="7" t="s">
        <v>2484</v>
      </c>
      <c r="Z167" s="7" t="s">
        <v>2442</v>
      </c>
    </row>
    <row r="168" customFormat="false" ht="158.2" hidden="false" customHeight="false" outlineLevel="0" collapsed="false">
      <c r="A168" s="7" t="s">
        <v>1744</v>
      </c>
      <c r="B168" s="7" t="s">
        <v>97</v>
      </c>
      <c r="C168" s="7" t="s">
        <v>1349</v>
      </c>
      <c r="D168" s="7" t="s">
        <v>1740</v>
      </c>
      <c r="E168" s="7" t="s">
        <v>1741</v>
      </c>
      <c r="F168" s="7" t="s">
        <v>594</v>
      </c>
      <c r="G168" s="7" t="s">
        <v>1742</v>
      </c>
      <c r="H168" s="7" t="s">
        <v>1743</v>
      </c>
      <c r="I168" s="8" t="n">
        <v>0.3</v>
      </c>
      <c r="J168" s="7" t="s">
        <v>598</v>
      </c>
      <c r="K168" s="7" t="s">
        <v>2489</v>
      </c>
      <c r="L168" s="7" t="s">
        <v>2490</v>
      </c>
      <c r="M168" s="7" t="s">
        <v>2433</v>
      </c>
      <c r="N168" s="7" t="s">
        <v>2434</v>
      </c>
      <c r="O168" s="7" t="s">
        <v>2491</v>
      </c>
      <c r="P168" s="7" t="s">
        <v>2492</v>
      </c>
      <c r="Q168" s="7" t="s">
        <v>2493</v>
      </c>
      <c r="R168" s="7"/>
      <c r="S168" s="7" t="s">
        <v>557</v>
      </c>
      <c r="T168" s="7" t="s">
        <v>556</v>
      </c>
      <c r="U168" s="7" t="s">
        <v>2438</v>
      </c>
      <c r="V168" s="7" t="s">
        <v>2439</v>
      </c>
      <c r="W168" s="7" t="s">
        <v>2440</v>
      </c>
      <c r="X168" s="7" t="s">
        <v>2441</v>
      </c>
      <c r="Y168" s="7" t="s">
        <v>2484</v>
      </c>
      <c r="Z168" s="7" t="s">
        <v>2442</v>
      </c>
    </row>
    <row r="169" customFormat="false" ht="158.2" hidden="false" customHeight="false" outlineLevel="0" collapsed="false">
      <c r="A169" s="7" t="s">
        <v>1749</v>
      </c>
      <c r="B169" s="7" t="s">
        <v>97</v>
      </c>
      <c r="C169" s="7" t="s">
        <v>1349</v>
      </c>
      <c r="D169" s="7" t="s">
        <v>1745</v>
      </c>
      <c r="E169" s="7" t="s">
        <v>1746</v>
      </c>
      <c r="F169" s="7" t="s">
        <v>594</v>
      </c>
      <c r="G169" s="7" t="s">
        <v>1747</v>
      </c>
      <c r="H169" s="7" t="s">
        <v>1748</v>
      </c>
      <c r="I169" s="8" t="n">
        <v>0.5</v>
      </c>
      <c r="J169" s="7" t="s">
        <v>598</v>
      </c>
      <c r="K169" s="7" t="s">
        <v>2489</v>
      </c>
      <c r="L169" s="7" t="s">
        <v>2490</v>
      </c>
      <c r="M169" s="7" t="s">
        <v>2433</v>
      </c>
      <c r="N169" s="7" t="s">
        <v>2434</v>
      </c>
      <c r="O169" s="7" t="s">
        <v>2491</v>
      </c>
      <c r="P169" s="7" t="s">
        <v>2492</v>
      </c>
      <c r="Q169" s="7" t="s">
        <v>2493</v>
      </c>
      <c r="R169" s="7"/>
      <c r="S169" s="7" t="s">
        <v>557</v>
      </c>
      <c r="T169" s="7" t="s">
        <v>556</v>
      </c>
      <c r="U169" s="7" t="s">
        <v>2438</v>
      </c>
      <c r="V169" s="7" t="s">
        <v>2439</v>
      </c>
      <c r="W169" s="7" t="s">
        <v>2440</v>
      </c>
      <c r="X169" s="7" t="s">
        <v>2441</v>
      </c>
      <c r="Y169" s="7" t="s">
        <v>2484</v>
      </c>
      <c r="Z169" s="7" t="s">
        <v>2442</v>
      </c>
    </row>
    <row r="170" customFormat="false" ht="158.2" hidden="false" customHeight="false" outlineLevel="0" collapsed="false">
      <c r="A170" s="7" t="s">
        <v>1754</v>
      </c>
      <c r="B170" s="7" t="s">
        <v>97</v>
      </c>
      <c r="C170" s="7" t="s">
        <v>1349</v>
      </c>
      <c r="D170" s="7" t="s">
        <v>1751</v>
      </c>
      <c r="E170" s="7" t="s">
        <v>845</v>
      </c>
      <c r="F170" s="7" t="s">
        <v>594</v>
      </c>
      <c r="G170" s="7" t="s">
        <v>1752</v>
      </c>
      <c r="H170" s="7" t="s">
        <v>1753</v>
      </c>
      <c r="I170" s="8" t="n">
        <v>0.3</v>
      </c>
      <c r="J170" s="7" t="s">
        <v>523</v>
      </c>
      <c r="K170" s="7" t="s">
        <v>2468</v>
      </c>
      <c r="L170" s="7" t="s">
        <v>2469</v>
      </c>
      <c r="M170" s="7" t="s">
        <v>2433</v>
      </c>
      <c r="N170" s="7" t="s">
        <v>2434</v>
      </c>
      <c r="O170" s="7" t="s">
        <v>2470</v>
      </c>
      <c r="P170" s="7" t="s">
        <v>2471</v>
      </c>
      <c r="Q170" s="7" t="s">
        <v>2493</v>
      </c>
      <c r="R170" s="7"/>
      <c r="S170" s="7" t="s">
        <v>569</v>
      </c>
      <c r="T170" s="7" t="s">
        <v>568</v>
      </c>
      <c r="U170" s="7" t="s">
        <v>2438</v>
      </c>
      <c r="V170" s="7" t="s">
        <v>2439</v>
      </c>
      <c r="W170" s="7" t="s">
        <v>2440</v>
      </c>
      <c r="X170" s="7" t="s">
        <v>2441</v>
      </c>
      <c r="Y170" s="7" t="s">
        <v>2484</v>
      </c>
      <c r="Z170" s="7" t="s">
        <v>2442</v>
      </c>
    </row>
    <row r="171" customFormat="false" ht="158.2" hidden="false" customHeight="false" outlineLevel="0" collapsed="false">
      <c r="A171" s="7" t="s">
        <v>1758</v>
      </c>
      <c r="B171" s="7" t="s">
        <v>97</v>
      </c>
      <c r="C171" s="7" t="s">
        <v>1349</v>
      </c>
      <c r="D171" s="7" t="s">
        <v>1755</v>
      </c>
      <c r="E171" s="7" t="s">
        <v>849</v>
      </c>
      <c r="F171" s="7" t="s">
        <v>594</v>
      </c>
      <c r="G171" s="7" t="s">
        <v>1756</v>
      </c>
      <c r="H171" s="7" t="s">
        <v>1757</v>
      </c>
      <c r="I171" s="8" t="n">
        <v>0.3</v>
      </c>
      <c r="J171" s="7" t="s">
        <v>523</v>
      </c>
      <c r="K171" s="7" t="s">
        <v>2468</v>
      </c>
      <c r="L171" s="7" t="s">
        <v>2469</v>
      </c>
      <c r="M171" s="7" t="s">
        <v>2433</v>
      </c>
      <c r="N171" s="7" t="s">
        <v>2434</v>
      </c>
      <c r="O171" s="7" t="s">
        <v>2470</v>
      </c>
      <c r="P171" s="7" t="s">
        <v>2471</v>
      </c>
      <c r="Q171" s="7" t="s">
        <v>2493</v>
      </c>
      <c r="R171" s="7"/>
      <c r="S171" s="7" t="s">
        <v>569</v>
      </c>
      <c r="T171" s="7" t="s">
        <v>568</v>
      </c>
      <c r="U171" s="7" t="s">
        <v>2438</v>
      </c>
      <c r="V171" s="7" t="s">
        <v>2439</v>
      </c>
      <c r="W171" s="7" t="s">
        <v>2440</v>
      </c>
      <c r="X171" s="7" t="s">
        <v>2441</v>
      </c>
      <c r="Y171" s="7" t="s">
        <v>2484</v>
      </c>
      <c r="Z171" s="7" t="s">
        <v>2442</v>
      </c>
    </row>
    <row r="172" customFormat="false" ht="158.2" hidden="false" customHeight="false" outlineLevel="0" collapsed="false">
      <c r="A172" s="7" t="s">
        <v>1763</v>
      </c>
      <c r="B172" s="7" t="s">
        <v>97</v>
      </c>
      <c r="C172" s="7" t="s">
        <v>1349</v>
      </c>
      <c r="D172" s="7" t="s">
        <v>1759</v>
      </c>
      <c r="E172" s="7" t="s">
        <v>1760</v>
      </c>
      <c r="F172" s="7" t="s">
        <v>594</v>
      </c>
      <c r="G172" s="7" t="s">
        <v>1761</v>
      </c>
      <c r="H172" s="7" t="s">
        <v>1762</v>
      </c>
      <c r="I172" s="8" t="n">
        <v>0.4</v>
      </c>
      <c r="J172" s="7" t="s">
        <v>523</v>
      </c>
      <c r="K172" s="7" t="s">
        <v>2468</v>
      </c>
      <c r="L172" s="7" t="s">
        <v>2469</v>
      </c>
      <c r="M172" s="7" t="s">
        <v>2433</v>
      </c>
      <c r="N172" s="7" t="s">
        <v>2434</v>
      </c>
      <c r="O172" s="7" t="s">
        <v>2470</v>
      </c>
      <c r="P172" s="7" t="s">
        <v>2471</v>
      </c>
      <c r="Q172" s="7" t="s">
        <v>2493</v>
      </c>
      <c r="R172" s="7"/>
      <c r="S172" s="7" t="s">
        <v>569</v>
      </c>
      <c r="T172" s="7" t="s">
        <v>568</v>
      </c>
      <c r="U172" s="7" t="s">
        <v>2438</v>
      </c>
      <c r="V172" s="7" t="s">
        <v>2439</v>
      </c>
      <c r="W172" s="7" t="s">
        <v>2440</v>
      </c>
      <c r="X172" s="7" t="s">
        <v>2441</v>
      </c>
      <c r="Y172" s="7" t="s">
        <v>2484</v>
      </c>
      <c r="Z172" s="7" t="s">
        <v>2442</v>
      </c>
    </row>
    <row r="173" customFormat="false" ht="158.2" hidden="false" customHeight="false" outlineLevel="0" collapsed="false">
      <c r="A173" s="7" t="s">
        <v>1767</v>
      </c>
      <c r="B173" s="7" t="s">
        <v>97</v>
      </c>
      <c r="C173" s="7" t="s">
        <v>1349</v>
      </c>
      <c r="D173" s="7" t="s">
        <v>1764</v>
      </c>
      <c r="E173" s="7" t="s">
        <v>852</v>
      </c>
      <c r="F173" s="7" t="s">
        <v>594</v>
      </c>
      <c r="G173" s="7" t="s">
        <v>1765</v>
      </c>
      <c r="H173" s="7" t="s">
        <v>1766</v>
      </c>
      <c r="I173" s="8" t="n">
        <v>0.3</v>
      </c>
      <c r="J173" s="7" t="s">
        <v>523</v>
      </c>
      <c r="K173" s="7" t="s">
        <v>2468</v>
      </c>
      <c r="L173" s="7" t="s">
        <v>2469</v>
      </c>
      <c r="M173" s="7" t="s">
        <v>2433</v>
      </c>
      <c r="N173" s="7" t="s">
        <v>2434</v>
      </c>
      <c r="O173" s="7" t="s">
        <v>2470</v>
      </c>
      <c r="P173" s="7" t="s">
        <v>2471</v>
      </c>
      <c r="Q173" s="7" t="s">
        <v>2493</v>
      </c>
      <c r="R173" s="7"/>
      <c r="S173" s="7" t="s">
        <v>557</v>
      </c>
      <c r="T173" s="7" t="s">
        <v>556</v>
      </c>
      <c r="U173" s="7" t="s">
        <v>2438</v>
      </c>
      <c r="V173" s="7" t="s">
        <v>2439</v>
      </c>
      <c r="W173" s="7" t="s">
        <v>2440</v>
      </c>
      <c r="X173" s="7" t="s">
        <v>2441</v>
      </c>
      <c r="Y173" s="7" t="s">
        <v>2484</v>
      </c>
      <c r="Z173" s="7" t="s">
        <v>2442</v>
      </c>
    </row>
    <row r="174" customFormat="false" ht="158.2" hidden="false" customHeight="false" outlineLevel="0" collapsed="false">
      <c r="A174" s="7" t="s">
        <v>1772</v>
      </c>
      <c r="B174" s="7" t="s">
        <v>97</v>
      </c>
      <c r="C174" s="7" t="s">
        <v>1349</v>
      </c>
      <c r="D174" s="7" t="s">
        <v>1768</v>
      </c>
      <c r="E174" s="7" t="s">
        <v>1769</v>
      </c>
      <c r="F174" s="7" t="s">
        <v>594</v>
      </c>
      <c r="G174" s="7" t="s">
        <v>1770</v>
      </c>
      <c r="H174" s="7" t="s">
        <v>1771</v>
      </c>
      <c r="I174" s="8" t="n">
        <v>0.5</v>
      </c>
      <c r="J174" s="7" t="s">
        <v>523</v>
      </c>
      <c r="K174" s="7" t="s">
        <v>2468</v>
      </c>
      <c r="L174" s="7" t="s">
        <v>2469</v>
      </c>
      <c r="M174" s="7" t="s">
        <v>2433</v>
      </c>
      <c r="N174" s="7" t="s">
        <v>2434</v>
      </c>
      <c r="O174" s="7" t="s">
        <v>2470</v>
      </c>
      <c r="P174" s="7" t="s">
        <v>2471</v>
      </c>
      <c r="Q174" s="7" t="s">
        <v>2493</v>
      </c>
      <c r="R174" s="7"/>
      <c r="S174" s="7"/>
      <c r="T174" s="7" t="s">
        <v>1065</v>
      </c>
      <c r="U174" s="7" t="s">
        <v>2438</v>
      </c>
      <c r="V174" s="7" t="s">
        <v>2439</v>
      </c>
      <c r="W174" s="7" t="s">
        <v>2440</v>
      </c>
      <c r="X174" s="7" t="s">
        <v>2441</v>
      </c>
      <c r="Y174" s="7" t="s">
        <v>2484</v>
      </c>
      <c r="Z174" s="7" t="s">
        <v>2442</v>
      </c>
    </row>
    <row r="175" customFormat="false" ht="158.2" hidden="false" customHeight="false" outlineLevel="0" collapsed="false">
      <c r="A175" s="7" t="s">
        <v>1778</v>
      </c>
      <c r="B175" s="7" t="s">
        <v>97</v>
      </c>
      <c r="C175" s="7" t="s">
        <v>1349</v>
      </c>
      <c r="D175" s="7" t="s">
        <v>1774</v>
      </c>
      <c r="E175" s="7" t="s">
        <v>1775</v>
      </c>
      <c r="F175" s="7" t="s">
        <v>594</v>
      </c>
      <c r="G175" s="7" t="s">
        <v>1776</v>
      </c>
      <c r="H175" s="7" t="s">
        <v>1777</v>
      </c>
      <c r="I175" s="8" t="n">
        <v>0.7</v>
      </c>
      <c r="J175" s="7" t="s">
        <v>523</v>
      </c>
      <c r="K175" s="7" t="s">
        <v>2468</v>
      </c>
      <c r="L175" s="7" t="s">
        <v>2469</v>
      </c>
      <c r="M175" s="7" t="s">
        <v>2433</v>
      </c>
      <c r="N175" s="7" t="s">
        <v>2434</v>
      </c>
      <c r="O175" s="7" t="s">
        <v>2470</v>
      </c>
      <c r="P175" s="7" t="s">
        <v>2471</v>
      </c>
      <c r="Q175" s="7" t="s">
        <v>2493</v>
      </c>
      <c r="R175" s="7"/>
      <c r="S175" s="7" t="s">
        <v>557</v>
      </c>
      <c r="T175" s="7" t="s">
        <v>556</v>
      </c>
      <c r="U175" s="7" t="s">
        <v>2438</v>
      </c>
      <c r="V175" s="7" t="s">
        <v>2439</v>
      </c>
      <c r="W175" s="7" t="s">
        <v>2440</v>
      </c>
      <c r="X175" s="7" t="s">
        <v>2441</v>
      </c>
      <c r="Y175" s="7" t="s">
        <v>2484</v>
      </c>
      <c r="Z175" s="7" t="s">
        <v>2442</v>
      </c>
    </row>
    <row r="176" customFormat="false" ht="158.2" hidden="false" customHeight="false" outlineLevel="0" collapsed="false">
      <c r="A176" s="7" t="s">
        <v>1783</v>
      </c>
      <c r="B176" s="7" t="s">
        <v>97</v>
      </c>
      <c r="C176" s="7" t="s">
        <v>1349</v>
      </c>
      <c r="D176" s="7" t="s">
        <v>1779</v>
      </c>
      <c r="E176" s="7" t="s">
        <v>1780</v>
      </c>
      <c r="F176" s="7" t="s">
        <v>594</v>
      </c>
      <c r="G176" s="7" t="s">
        <v>1781</v>
      </c>
      <c r="H176" s="7" t="s">
        <v>1782</v>
      </c>
      <c r="I176" s="8" t="n">
        <v>0.2</v>
      </c>
      <c r="J176" s="7" t="s">
        <v>523</v>
      </c>
      <c r="K176" s="7" t="s">
        <v>2468</v>
      </c>
      <c r="L176" s="7" t="s">
        <v>2469</v>
      </c>
      <c r="M176" s="7" t="s">
        <v>2433</v>
      </c>
      <c r="N176" s="7" t="s">
        <v>2434</v>
      </c>
      <c r="O176" s="7" t="s">
        <v>2470</v>
      </c>
      <c r="P176" s="7" t="s">
        <v>2471</v>
      </c>
      <c r="Q176" s="7" t="s">
        <v>2493</v>
      </c>
      <c r="R176" s="7"/>
      <c r="S176" s="7" t="s">
        <v>569</v>
      </c>
      <c r="T176" s="7" t="s">
        <v>628</v>
      </c>
      <c r="U176" s="7" t="s">
        <v>2438</v>
      </c>
      <c r="V176" s="7" t="s">
        <v>2439</v>
      </c>
      <c r="W176" s="7" t="s">
        <v>2440</v>
      </c>
      <c r="X176" s="7" t="s">
        <v>2441</v>
      </c>
      <c r="Y176" s="7" t="s">
        <v>2484</v>
      </c>
      <c r="Z176" s="7" t="s">
        <v>2442</v>
      </c>
    </row>
    <row r="177" customFormat="false" ht="158.2" hidden="false" customHeight="false" outlineLevel="0" collapsed="false">
      <c r="A177" s="7" t="s">
        <v>1788</v>
      </c>
      <c r="B177" s="7" t="s">
        <v>97</v>
      </c>
      <c r="C177" s="7" t="s">
        <v>1349</v>
      </c>
      <c r="D177" s="7" t="s">
        <v>1784</v>
      </c>
      <c r="E177" s="7" t="s">
        <v>1785</v>
      </c>
      <c r="F177" s="7" t="s">
        <v>594</v>
      </c>
      <c r="G177" s="7" t="s">
        <v>1786</v>
      </c>
      <c r="H177" s="7" t="s">
        <v>1787</v>
      </c>
      <c r="I177" s="8" t="n">
        <v>0.5</v>
      </c>
      <c r="J177" s="7" t="s">
        <v>523</v>
      </c>
      <c r="K177" s="7" t="s">
        <v>2468</v>
      </c>
      <c r="L177" s="7" t="s">
        <v>2469</v>
      </c>
      <c r="M177" s="7" t="s">
        <v>2433</v>
      </c>
      <c r="N177" s="7" t="s">
        <v>2434</v>
      </c>
      <c r="O177" s="7" t="s">
        <v>2470</v>
      </c>
      <c r="P177" s="7" t="s">
        <v>2471</v>
      </c>
      <c r="Q177" s="7" t="s">
        <v>2493</v>
      </c>
      <c r="R177" s="7"/>
      <c r="S177" s="7" t="s">
        <v>569</v>
      </c>
      <c r="T177" s="7" t="s">
        <v>628</v>
      </c>
      <c r="U177" s="7" t="s">
        <v>2438</v>
      </c>
      <c r="V177" s="7" t="s">
        <v>2439</v>
      </c>
      <c r="W177" s="7" t="s">
        <v>2440</v>
      </c>
      <c r="X177" s="7" t="s">
        <v>2441</v>
      </c>
      <c r="Y177" s="7" t="s">
        <v>2484</v>
      </c>
      <c r="Z177" s="7" t="s">
        <v>2442</v>
      </c>
    </row>
    <row r="178" customFormat="false" ht="158.2" hidden="false" customHeight="false" outlineLevel="0" collapsed="false">
      <c r="A178" s="7" t="s">
        <v>1792</v>
      </c>
      <c r="B178" s="7" t="s">
        <v>97</v>
      </c>
      <c r="C178" s="7" t="s">
        <v>1349</v>
      </c>
      <c r="D178" s="7" t="s">
        <v>1789</v>
      </c>
      <c r="E178" s="7" t="s">
        <v>856</v>
      </c>
      <c r="F178" s="7" t="s">
        <v>594</v>
      </c>
      <c r="G178" s="7" t="s">
        <v>1790</v>
      </c>
      <c r="H178" s="7" t="s">
        <v>1791</v>
      </c>
      <c r="I178" s="8" t="n">
        <v>0.2</v>
      </c>
      <c r="J178" s="7" t="s">
        <v>523</v>
      </c>
      <c r="K178" s="7" t="s">
        <v>2468</v>
      </c>
      <c r="L178" s="7" t="s">
        <v>2469</v>
      </c>
      <c r="M178" s="7" t="s">
        <v>2433</v>
      </c>
      <c r="N178" s="7" t="s">
        <v>2434</v>
      </c>
      <c r="O178" s="7" t="s">
        <v>2470</v>
      </c>
      <c r="P178" s="7" t="s">
        <v>2471</v>
      </c>
      <c r="Q178" s="7" t="s">
        <v>2493</v>
      </c>
      <c r="R178" s="7" t="s">
        <v>2514</v>
      </c>
      <c r="S178" s="7" t="s">
        <v>557</v>
      </c>
      <c r="T178" s="7" t="s">
        <v>556</v>
      </c>
      <c r="U178" s="7" t="s">
        <v>2438</v>
      </c>
      <c r="V178" s="7" t="s">
        <v>2439</v>
      </c>
      <c r="W178" s="7" t="s">
        <v>2440</v>
      </c>
      <c r="X178" s="7" t="s">
        <v>2441</v>
      </c>
      <c r="Y178" s="7" t="s">
        <v>2484</v>
      </c>
      <c r="Z178" s="7" t="s">
        <v>2442</v>
      </c>
    </row>
    <row r="179" customFormat="false" ht="158.2" hidden="false" customHeight="false" outlineLevel="0" collapsed="false">
      <c r="A179" s="7" t="s">
        <v>1798</v>
      </c>
      <c r="B179" s="7" t="s">
        <v>97</v>
      </c>
      <c r="C179" s="7" t="s">
        <v>1349</v>
      </c>
      <c r="D179" s="7" t="s">
        <v>1794</v>
      </c>
      <c r="E179" s="7" t="s">
        <v>1795</v>
      </c>
      <c r="F179" s="7" t="s">
        <v>1184</v>
      </c>
      <c r="G179" s="7" t="s">
        <v>1796</v>
      </c>
      <c r="H179" s="7" t="s">
        <v>1797</v>
      </c>
      <c r="I179" s="8" t="n">
        <v>0.7</v>
      </c>
      <c r="J179" s="7" t="s">
        <v>627</v>
      </c>
      <c r="K179" s="7" t="s">
        <v>2495</v>
      </c>
      <c r="L179" s="7" t="s">
        <v>2496</v>
      </c>
      <c r="M179" s="7" t="s">
        <v>2433</v>
      </c>
      <c r="N179" s="7" t="s">
        <v>2434</v>
      </c>
      <c r="O179" s="7" t="s">
        <v>2491</v>
      </c>
      <c r="P179" s="7" t="s">
        <v>2497</v>
      </c>
      <c r="Q179" s="7" t="s">
        <v>2503</v>
      </c>
      <c r="R179" s="7" t="s">
        <v>2515</v>
      </c>
      <c r="S179" s="7" t="s">
        <v>569</v>
      </c>
      <c r="T179" s="7" t="s">
        <v>568</v>
      </c>
      <c r="U179" s="7" t="s">
        <v>2438</v>
      </c>
      <c r="V179" s="7" t="s">
        <v>2439</v>
      </c>
      <c r="W179" s="7" t="s">
        <v>2440</v>
      </c>
      <c r="X179" s="7" t="s">
        <v>2441</v>
      </c>
      <c r="Y179" s="7" t="s">
        <v>2484</v>
      </c>
      <c r="Z179" s="7" t="s">
        <v>2442</v>
      </c>
    </row>
    <row r="180" customFormat="false" ht="158.2" hidden="false" customHeight="false" outlineLevel="0" collapsed="false">
      <c r="A180" s="7" t="s">
        <v>1802</v>
      </c>
      <c r="B180" s="7" t="s">
        <v>97</v>
      </c>
      <c r="C180" s="7" t="s">
        <v>1349</v>
      </c>
      <c r="D180" s="7" t="s">
        <v>1799</v>
      </c>
      <c r="E180" s="7" t="s">
        <v>892</v>
      </c>
      <c r="F180" s="7" t="s">
        <v>1184</v>
      </c>
      <c r="G180" s="7" t="s">
        <v>1800</v>
      </c>
      <c r="H180" s="7" t="s">
        <v>1801</v>
      </c>
      <c r="I180" s="8" t="n">
        <v>0.5</v>
      </c>
      <c r="J180" s="7" t="s">
        <v>250</v>
      </c>
      <c r="K180" s="7" t="s">
        <v>2452</v>
      </c>
      <c r="L180" s="7" t="s">
        <v>2453</v>
      </c>
      <c r="M180" s="7" t="s">
        <v>2433</v>
      </c>
      <c r="N180" s="7" t="s">
        <v>2434</v>
      </c>
      <c r="O180" s="7" t="s">
        <v>2454</v>
      </c>
      <c r="P180" s="7" t="s">
        <v>2455</v>
      </c>
      <c r="Q180" s="7" t="s">
        <v>2503</v>
      </c>
      <c r="R180" s="7"/>
      <c r="S180" s="7" t="s">
        <v>557</v>
      </c>
      <c r="T180" s="7" t="s">
        <v>556</v>
      </c>
      <c r="U180" s="7" t="s">
        <v>2438</v>
      </c>
      <c r="V180" s="7" t="s">
        <v>2439</v>
      </c>
      <c r="W180" s="7" t="s">
        <v>2440</v>
      </c>
      <c r="X180" s="7" t="s">
        <v>2441</v>
      </c>
      <c r="Y180" s="7" t="s">
        <v>2484</v>
      </c>
      <c r="Z180" s="7" t="s">
        <v>2442</v>
      </c>
    </row>
    <row r="181" customFormat="false" ht="158.2" hidden="false" customHeight="false" outlineLevel="0" collapsed="false">
      <c r="A181" s="7" t="s">
        <v>1807</v>
      </c>
      <c r="B181" s="7" t="s">
        <v>97</v>
      </c>
      <c r="C181" s="7" t="s">
        <v>1349</v>
      </c>
      <c r="D181" s="7" t="s">
        <v>1803</v>
      </c>
      <c r="E181" s="7" t="s">
        <v>1804</v>
      </c>
      <c r="F181" s="7" t="s">
        <v>1184</v>
      </c>
      <c r="G181" s="7" t="s">
        <v>1805</v>
      </c>
      <c r="H181" s="7" t="s">
        <v>1806</v>
      </c>
      <c r="I181" s="8" t="n">
        <v>0.5</v>
      </c>
      <c r="J181" s="7" t="s">
        <v>250</v>
      </c>
      <c r="K181" s="7" t="s">
        <v>2452</v>
      </c>
      <c r="L181" s="7" t="s">
        <v>2453</v>
      </c>
      <c r="M181" s="7" t="s">
        <v>2433</v>
      </c>
      <c r="N181" s="7" t="s">
        <v>2434</v>
      </c>
      <c r="O181" s="7" t="s">
        <v>2454</v>
      </c>
      <c r="P181" s="7" t="s">
        <v>2455</v>
      </c>
      <c r="Q181" s="7" t="s">
        <v>2503</v>
      </c>
      <c r="R181" s="7"/>
      <c r="S181" s="7" t="s">
        <v>557</v>
      </c>
      <c r="T181" s="7" t="s">
        <v>556</v>
      </c>
      <c r="U181" s="7" t="s">
        <v>2438</v>
      </c>
      <c r="V181" s="7" t="s">
        <v>2439</v>
      </c>
      <c r="W181" s="7" t="s">
        <v>2440</v>
      </c>
      <c r="X181" s="7" t="s">
        <v>2441</v>
      </c>
      <c r="Y181" s="7" t="s">
        <v>2484</v>
      </c>
      <c r="Z181" s="7" t="s">
        <v>2442</v>
      </c>
    </row>
    <row r="182" customFormat="false" ht="158.2" hidden="false" customHeight="false" outlineLevel="0" collapsed="false">
      <c r="A182" s="7" t="s">
        <v>1812</v>
      </c>
      <c r="B182" s="7" t="s">
        <v>97</v>
      </c>
      <c r="C182" s="7" t="s">
        <v>1349</v>
      </c>
      <c r="D182" s="7" t="s">
        <v>1808</v>
      </c>
      <c r="E182" s="7" t="s">
        <v>1809</v>
      </c>
      <c r="F182" s="7" t="s">
        <v>1184</v>
      </c>
      <c r="G182" s="7" t="s">
        <v>1810</v>
      </c>
      <c r="H182" s="7" t="s">
        <v>1811</v>
      </c>
      <c r="I182" s="8" t="n">
        <v>0.6</v>
      </c>
      <c r="J182" s="7" t="s">
        <v>598</v>
      </c>
      <c r="K182" s="7" t="s">
        <v>2489</v>
      </c>
      <c r="L182" s="7" t="s">
        <v>2490</v>
      </c>
      <c r="M182" s="7" t="s">
        <v>2433</v>
      </c>
      <c r="N182" s="7" t="s">
        <v>2434</v>
      </c>
      <c r="O182" s="7" t="s">
        <v>2491</v>
      </c>
      <c r="P182" s="7" t="s">
        <v>2492</v>
      </c>
      <c r="Q182" s="7" t="s">
        <v>2503</v>
      </c>
      <c r="R182" s="7"/>
      <c r="S182" s="7" t="s">
        <v>557</v>
      </c>
      <c r="T182" s="7" t="s">
        <v>556</v>
      </c>
      <c r="U182" s="7" t="s">
        <v>2438</v>
      </c>
      <c r="V182" s="7" t="s">
        <v>2439</v>
      </c>
      <c r="W182" s="7" t="s">
        <v>2440</v>
      </c>
      <c r="X182" s="7" t="s">
        <v>2441</v>
      </c>
      <c r="Y182" s="7" t="s">
        <v>2484</v>
      </c>
      <c r="Z182" s="7" t="s">
        <v>2442</v>
      </c>
    </row>
    <row r="183" customFormat="false" ht="158.2" hidden="false" customHeight="false" outlineLevel="0" collapsed="false">
      <c r="A183" s="7" t="s">
        <v>1818</v>
      </c>
      <c r="B183" s="7" t="s">
        <v>97</v>
      </c>
      <c r="C183" s="7" t="s">
        <v>1349</v>
      </c>
      <c r="D183" s="7" t="s">
        <v>1814</v>
      </c>
      <c r="E183" s="7" t="s">
        <v>1815</v>
      </c>
      <c r="F183" s="7" t="s">
        <v>1184</v>
      </c>
      <c r="G183" s="7" t="s">
        <v>1816</v>
      </c>
      <c r="H183" s="7" t="s">
        <v>1817</v>
      </c>
      <c r="I183" s="8" t="n">
        <v>0.6</v>
      </c>
      <c r="J183" s="7" t="s">
        <v>627</v>
      </c>
      <c r="K183" s="7" t="s">
        <v>2495</v>
      </c>
      <c r="L183" s="7" t="s">
        <v>2496</v>
      </c>
      <c r="M183" s="7" t="s">
        <v>2433</v>
      </c>
      <c r="N183" s="7" t="s">
        <v>2434</v>
      </c>
      <c r="O183" s="7" t="s">
        <v>2491</v>
      </c>
      <c r="P183" s="7" t="s">
        <v>2497</v>
      </c>
      <c r="Q183" s="7" t="s">
        <v>2503</v>
      </c>
      <c r="R183" s="7"/>
      <c r="S183" s="7" t="s">
        <v>557</v>
      </c>
      <c r="T183" s="7" t="s">
        <v>556</v>
      </c>
      <c r="U183" s="7" t="s">
        <v>2438</v>
      </c>
      <c r="V183" s="7" t="s">
        <v>2439</v>
      </c>
      <c r="W183" s="7" t="s">
        <v>2440</v>
      </c>
      <c r="X183" s="7" t="s">
        <v>2441</v>
      </c>
      <c r="Y183" s="7" t="s">
        <v>2484</v>
      </c>
      <c r="Z183" s="7" t="s">
        <v>2442</v>
      </c>
    </row>
    <row r="184" customFormat="false" ht="158.2" hidden="false" customHeight="false" outlineLevel="0" collapsed="false">
      <c r="A184" s="7" t="s">
        <v>1823</v>
      </c>
      <c r="B184" s="7" t="s">
        <v>97</v>
      </c>
      <c r="C184" s="7" t="s">
        <v>1349</v>
      </c>
      <c r="D184" s="7" t="s">
        <v>1819</v>
      </c>
      <c r="E184" s="7" t="s">
        <v>1820</v>
      </c>
      <c r="F184" s="7" t="s">
        <v>1184</v>
      </c>
      <c r="G184" s="7" t="s">
        <v>1821</v>
      </c>
      <c r="H184" s="7" t="s">
        <v>1822</v>
      </c>
      <c r="I184" s="8" t="n">
        <v>0.7</v>
      </c>
      <c r="J184" s="7" t="s">
        <v>250</v>
      </c>
      <c r="K184" s="7" t="s">
        <v>2452</v>
      </c>
      <c r="L184" s="7" t="s">
        <v>2453</v>
      </c>
      <c r="M184" s="7" t="s">
        <v>2433</v>
      </c>
      <c r="N184" s="7" t="s">
        <v>2434</v>
      </c>
      <c r="O184" s="7" t="s">
        <v>2454</v>
      </c>
      <c r="P184" s="7" t="s">
        <v>2455</v>
      </c>
      <c r="Q184" s="7" t="s">
        <v>2503</v>
      </c>
      <c r="R184" s="7"/>
      <c r="S184" s="7" t="s">
        <v>557</v>
      </c>
      <c r="T184" s="7" t="s">
        <v>556</v>
      </c>
      <c r="U184" s="7" t="s">
        <v>2438</v>
      </c>
      <c r="V184" s="7" t="s">
        <v>2439</v>
      </c>
      <c r="W184" s="7" t="s">
        <v>2440</v>
      </c>
      <c r="X184" s="7" t="s">
        <v>2441</v>
      </c>
      <c r="Y184" s="7" t="s">
        <v>2484</v>
      </c>
      <c r="Z184" s="7" t="s">
        <v>2442</v>
      </c>
    </row>
    <row r="185" customFormat="false" ht="393.25" hidden="false" customHeight="false" outlineLevel="0" collapsed="false">
      <c r="A185" s="7" t="s">
        <v>1828</v>
      </c>
      <c r="B185" s="7" t="s">
        <v>97</v>
      </c>
      <c r="C185" s="7" t="s">
        <v>1349</v>
      </c>
      <c r="D185" s="7" t="s">
        <v>1825</v>
      </c>
      <c r="E185" s="7" t="s">
        <v>1826</v>
      </c>
      <c r="F185" s="7" t="s">
        <v>1207</v>
      </c>
      <c r="G185" s="7" t="s">
        <v>1827</v>
      </c>
      <c r="H185" s="7" t="s">
        <v>1209</v>
      </c>
      <c r="I185" s="8" t="n">
        <v>0.2</v>
      </c>
      <c r="J185" s="7" t="s">
        <v>367</v>
      </c>
      <c r="K185" s="7" t="s">
        <v>2463</v>
      </c>
      <c r="L185" s="7" t="s">
        <v>2464</v>
      </c>
      <c r="M185" s="7" t="s">
        <v>2433</v>
      </c>
      <c r="N185" s="7" t="s">
        <v>2434</v>
      </c>
      <c r="O185" s="7" t="s">
        <v>2465</v>
      </c>
      <c r="P185" s="7" t="s">
        <v>2466</v>
      </c>
      <c r="Q185" s="7" t="s">
        <v>2504</v>
      </c>
      <c r="R185" s="7"/>
      <c r="S185" s="7" t="s">
        <v>569</v>
      </c>
      <c r="T185" s="7" t="s">
        <v>568</v>
      </c>
      <c r="U185" s="7" t="s">
        <v>2438</v>
      </c>
      <c r="V185" s="7" t="s">
        <v>2439</v>
      </c>
      <c r="W185" s="7" t="s">
        <v>2440</v>
      </c>
      <c r="X185" s="7" t="s">
        <v>2441</v>
      </c>
      <c r="Y185" s="7" t="s">
        <v>2484</v>
      </c>
      <c r="Z185" s="7" t="s">
        <v>2442</v>
      </c>
    </row>
    <row r="186" customFormat="false" ht="393.25" hidden="false" customHeight="false" outlineLevel="0" collapsed="false">
      <c r="A186" s="7" t="s">
        <v>1832</v>
      </c>
      <c r="B186" s="7" t="s">
        <v>97</v>
      </c>
      <c r="C186" s="7" t="s">
        <v>1349</v>
      </c>
      <c r="D186" s="7" t="s">
        <v>1829</v>
      </c>
      <c r="E186" s="7" t="s">
        <v>1830</v>
      </c>
      <c r="F186" s="7" t="s">
        <v>1207</v>
      </c>
      <c r="G186" s="7" t="s">
        <v>1831</v>
      </c>
      <c r="H186" s="7" t="s">
        <v>1209</v>
      </c>
      <c r="I186" s="8" t="n">
        <v>0.1</v>
      </c>
      <c r="J186" s="7" t="s">
        <v>367</v>
      </c>
      <c r="K186" s="7" t="s">
        <v>2463</v>
      </c>
      <c r="L186" s="7" t="s">
        <v>2464</v>
      </c>
      <c r="M186" s="7" t="s">
        <v>2433</v>
      </c>
      <c r="N186" s="7" t="s">
        <v>2434</v>
      </c>
      <c r="O186" s="7" t="s">
        <v>2465</v>
      </c>
      <c r="P186" s="7" t="s">
        <v>2466</v>
      </c>
      <c r="Q186" s="7" t="s">
        <v>2504</v>
      </c>
      <c r="R186" s="7"/>
      <c r="S186" s="7" t="s">
        <v>569</v>
      </c>
      <c r="T186" s="7" t="s">
        <v>568</v>
      </c>
      <c r="U186" s="7" t="s">
        <v>2438</v>
      </c>
      <c r="V186" s="7" t="s">
        <v>2439</v>
      </c>
      <c r="W186" s="7" t="s">
        <v>2440</v>
      </c>
      <c r="X186" s="7" t="s">
        <v>2441</v>
      </c>
      <c r="Y186" s="7" t="s">
        <v>2484</v>
      </c>
      <c r="Z186" s="7" t="s">
        <v>2442</v>
      </c>
    </row>
    <row r="187" customFormat="false" ht="393.25" hidden="false" customHeight="false" outlineLevel="0" collapsed="false">
      <c r="A187" s="7" t="s">
        <v>1836</v>
      </c>
      <c r="B187" s="7" t="s">
        <v>97</v>
      </c>
      <c r="C187" s="7" t="s">
        <v>1349</v>
      </c>
      <c r="D187" s="7" t="s">
        <v>1833</v>
      </c>
      <c r="E187" s="7" t="s">
        <v>1834</v>
      </c>
      <c r="F187" s="7" t="s">
        <v>1207</v>
      </c>
      <c r="G187" s="7" t="s">
        <v>1835</v>
      </c>
      <c r="H187" s="7" t="s">
        <v>1209</v>
      </c>
      <c r="I187" s="8" t="n">
        <v>0.3</v>
      </c>
      <c r="J187" s="7" t="s">
        <v>367</v>
      </c>
      <c r="K187" s="7" t="s">
        <v>2463</v>
      </c>
      <c r="L187" s="7" t="s">
        <v>2464</v>
      </c>
      <c r="M187" s="7" t="s">
        <v>2433</v>
      </c>
      <c r="N187" s="7" t="s">
        <v>2434</v>
      </c>
      <c r="O187" s="7" t="s">
        <v>2465</v>
      </c>
      <c r="P187" s="7" t="s">
        <v>2466</v>
      </c>
      <c r="Q187" s="7" t="s">
        <v>2504</v>
      </c>
      <c r="R187" s="7"/>
      <c r="S187" s="7" t="s">
        <v>569</v>
      </c>
      <c r="T187" s="7" t="s">
        <v>568</v>
      </c>
      <c r="U187" s="7" t="s">
        <v>2438</v>
      </c>
      <c r="V187" s="7" t="s">
        <v>2439</v>
      </c>
      <c r="W187" s="7" t="s">
        <v>2440</v>
      </c>
      <c r="X187" s="7" t="s">
        <v>2441</v>
      </c>
      <c r="Y187" s="7" t="s">
        <v>2484</v>
      </c>
      <c r="Z187" s="7" t="s">
        <v>2442</v>
      </c>
    </row>
    <row r="188" customFormat="false" ht="393.25" hidden="false" customHeight="false" outlineLevel="0" collapsed="false">
      <c r="A188" s="7" t="s">
        <v>1840</v>
      </c>
      <c r="B188" s="7" t="s">
        <v>97</v>
      </c>
      <c r="C188" s="7" t="s">
        <v>1349</v>
      </c>
      <c r="D188" s="7" t="s">
        <v>1837</v>
      </c>
      <c r="E188" s="7" t="s">
        <v>1838</v>
      </c>
      <c r="F188" s="7" t="s">
        <v>1207</v>
      </c>
      <c r="G188" s="7" t="s">
        <v>1839</v>
      </c>
      <c r="H188" s="7" t="s">
        <v>1209</v>
      </c>
      <c r="I188" s="8" t="n">
        <v>0.4</v>
      </c>
      <c r="J188" s="7" t="s">
        <v>367</v>
      </c>
      <c r="K188" s="7" t="s">
        <v>2463</v>
      </c>
      <c r="L188" s="7" t="s">
        <v>2464</v>
      </c>
      <c r="M188" s="7" t="s">
        <v>2433</v>
      </c>
      <c r="N188" s="7" t="s">
        <v>2434</v>
      </c>
      <c r="O188" s="7" t="s">
        <v>2465</v>
      </c>
      <c r="P188" s="7" t="s">
        <v>2466</v>
      </c>
      <c r="Q188" s="7" t="s">
        <v>2504</v>
      </c>
      <c r="R188" s="7"/>
      <c r="S188" s="7" t="s">
        <v>569</v>
      </c>
      <c r="T188" s="7" t="s">
        <v>568</v>
      </c>
      <c r="U188" s="7" t="s">
        <v>2438</v>
      </c>
      <c r="V188" s="7" t="s">
        <v>2439</v>
      </c>
      <c r="W188" s="7" t="s">
        <v>2440</v>
      </c>
      <c r="X188" s="7" t="s">
        <v>2441</v>
      </c>
      <c r="Y188" s="7" t="s">
        <v>2484</v>
      </c>
      <c r="Z188" s="7" t="s">
        <v>2442</v>
      </c>
    </row>
    <row r="189" customFormat="false" ht="393.25" hidden="false" customHeight="false" outlineLevel="0" collapsed="false">
      <c r="A189" s="7" t="s">
        <v>1844</v>
      </c>
      <c r="B189" s="7" t="s">
        <v>97</v>
      </c>
      <c r="C189" s="7" t="s">
        <v>1349</v>
      </c>
      <c r="D189" s="7" t="s">
        <v>1841</v>
      </c>
      <c r="E189" s="7" t="s">
        <v>1842</v>
      </c>
      <c r="F189" s="7" t="s">
        <v>1207</v>
      </c>
      <c r="G189" s="7" t="s">
        <v>1843</v>
      </c>
      <c r="H189" s="7" t="s">
        <v>1209</v>
      </c>
      <c r="I189" s="8" t="n">
        <v>0.4</v>
      </c>
      <c r="J189" s="7" t="s">
        <v>367</v>
      </c>
      <c r="K189" s="7" t="s">
        <v>2463</v>
      </c>
      <c r="L189" s="7" t="s">
        <v>2464</v>
      </c>
      <c r="M189" s="7" t="s">
        <v>2433</v>
      </c>
      <c r="N189" s="7" t="s">
        <v>2434</v>
      </c>
      <c r="O189" s="7" t="s">
        <v>2465</v>
      </c>
      <c r="P189" s="7" t="s">
        <v>2466</v>
      </c>
      <c r="Q189" s="7" t="s">
        <v>2504</v>
      </c>
      <c r="R189" s="7"/>
      <c r="S189" s="7" t="s">
        <v>569</v>
      </c>
      <c r="T189" s="7" t="s">
        <v>568</v>
      </c>
      <c r="U189" s="7" t="s">
        <v>2438</v>
      </c>
      <c r="V189" s="7" t="s">
        <v>2439</v>
      </c>
      <c r="W189" s="7" t="s">
        <v>2440</v>
      </c>
      <c r="X189" s="7" t="s">
        <v>2441</v>
      </c>
      <c r="Y189" s="7" t="s">
        <v>2484</v>
      </c>
      <c r="Z189" s="7" t="s">
        <v>2442</v>
      </c>
    </row>
    <row r="190" customFormat="false" ht="393.25" hidden="false" customHeight="false" outlineLevel="0" collapsed="false">
      <c r="A190" s="7" t="s">
        <v>1848</v>
      </c>
      <c r="B190" s="7" t="s">
        <v>97</v>
      </c>
      <c r="C190" s="7" t="s">
        <v>1349</v>
      </c>
      <c r="D190" s="7" t="s">
        <v>1845</v>
      </c>
      <c r="E190" s="7" t="s">
        <v>1846</v>
      </c>
      <c r="F190" s="7" t="s">
        <v>1207</v>
      </c>
      <c r="G190" s="7" t="s">
        <v>1847</v>
      </c>
      <c r="H190" s="7" t="s">
        <v>1209</v>
      </c>
      <c r="I190" s="8" t="n">
        <v>0.4</v>
      </c>
      <c r="J190" s="7" t="s">
        <v>367</v>
      </c>
      <c r="K190" s="7" t="s">
        <v>2463</v>
      </c>
      <c r="L190" s="7" t="s">
        <v>2464</v>
      </c>
      <c r="M190" s="7" t="s">
        <v>2433</v>
      </c>
      <c r="N190" s="7" t="s">
        <v>2434</v>
      </c>
      <c r="O190" s="7" t="s">
        <v>2465</v>
      </c>
      <c r="P190" s="7" t="s">
        <v>2466</v>
      </c>
      <c r="Q190" s="7" t="s">
        <v>2504</v>
      </c>
      <c r="R190" s="7"/>
      <c r="S190" s="7" t="s">
        <v>569</v>
      </c>
      <c r="T190" s="7" t="s">
        <v>568</v>
      </c>
      <c r="U190" s="7" t="s">
        <v>2438</v>
      </c>
      <c r="V190" s="7" t="s">
        <v>2439</v>
      </c>
      <c r="W190" s="7" t="s">
        <v>2440</v>
      </c>
      <c r="X190" s="7" t="s">
        <v>2441</v>
      </c>
      <c r="Y190" s="7" t="s">
        <v>2484</v>
      </c>
      <c r="Z190" s="7" t="s">
        <v>2442</v>
      </c>
    </row>
    <row r="191" customFormat="false" ht="393.25" hidden="false" customHeight="false" outlineLevel="0" collapsed="false">
      <c r="A191" s="7" t="s">
        <v>1853</v>
      </c>
      <c r="B191" s="7" t="s">
        <v>97</v>
      </c>
      <c r="C191" s="7" t="s">
        <v>1349</v>
      </c>
      <c r="D191" s="7" t="s">
        <v>1850</v>
      </c>
      <c r="E191" s="7" t="s">
        <v>1851</v>
      </c>
      <c r="F191" s="7" t="s">
        <v>1207</v>
      </c>
      <c r="G191" s="7" t="s">
        <v>1852</v>
      </c>
      <c r="H191" s="7" t="s">
        <v>1209</v>
      </c>
      <c r="I191" s="8" t="n">
        <v>0.4</v>
      </c>
      <c r="J191" s="7" t="s">
        <v>367</v>
      </c>
      <c r="K191" s="7" t="s">
        <v>2463</v>
      </c>
      <c r="L191" s="7" t="s">
        <v>2464</v>
      </c>
      <c r="M191" s="7" t="s">
        <v>2433</v>
      </c>
      <c r="N191" s="7" t="s">
        <v>2434</v>
      </c>
      <c r="O191" s="7" t="s">
        <v>2465</v>
      </c>
      <c r="P191" s="7" t="s">
        <v>2466</v>
      </c>
      <c r="Q191" s="7" t="s">
        <v>2504</v>
      </c>
      <c r="R191" s="7"/>
      <c r="S191" s="7" t="s">
        <v>569</v>
      </c>
      <c r="T191" s="7" t="s">
        <v>568</v>
      </c>
      <c r="U191" s="7" t="s">
        <v>2438</v>
      </c>
      <c r="V191" s="7" t="s">
        <v>2439</v>
      </c>
      <c r="W191" s="7" t="s">
        <v>2440</v>
      </c>
      <c r="X191" s="7" t="s">
        <v>2441</v>
      </c>
      <c r="Y191" s="7" t="s">
        <v>2484</v>
      </c>
      <c r="Z191" s="7" t="s">
        <v>2442</v>
      </c>
    </row>
    <row r="192" customFormat="false" ht="393.25" hidden="false" customHeight="false" outlineLevel="0" collapsed="false">
      <c r="A192" s="7" t="s">
        <v>1857</v>
      </c>
      <c r="B192" s="7" t="s">
        <v>97</v>
      </c>
      <c r="C192" s="7" t="s">
        <v>1349</v>
      </c>
      <c r="D192" s="7" t="s">
        <v>1854</v>
      </c>
      <c r="E192" s="7" t="s">
        <v>1855</v>
      </c>
      <c r="F192" s="7" t="s">
        <v>1207</v>
      </c>
      <c r="G192" s="7" t="s">
        <v>1856</v>
      </c>
      <c r="H192" s="7" t="s">
        <v>1209</v>
      </c>
      <c r="I192" s="8" t="n">
        <v>0.3</v>
      </c>
      <c r="J192" s="7" t="s">
        <v>367</v>
      </c>
      <c r="K192" s="7" t="s">
        <v>2463</v>
      </c>
      <c r="L192" s="7" t="s">
        <v>2464</v>
      </c>
      <c r="M192" s="7" t="s">
        <v>2433</v>
      </c>
      <c r="N192" s="7" t="s">
        <v>2434</v>
      </c>
      <c r="O192" s="7" t="s">
        <v>2465</v>
      </c>
      <c r="P192" s="7" t="s">
        <v>2466</v>
      </c>
      <c r="Q192" s="7" t="s">
        <v>2504</v>
      </c>
      <c r="R192" s="7"/>
      <c r="S192" s="7" t="s">
        <v>569</v>
      </c>
      <c r="T192" s="7" t="s">
        <v>568</v>
      </c>
      <c r="U192" s="7" t="s">
        <v>2438</v>
      </c>
      <c r="V192" s="7" t="s">
        <v>2439</v>
      </c>
      <c r="W192" s="7" t="s">
        <v>2440</v>
      </c>
      <c r="X192" s="7" t="s">
        <v>2441</v>
      </c>
      <c r="Y192" s="7" t="s">
        <v>2484</v>
      </c>
      <c r="Z192" s="7" t="s">
        <v>2442</v>
      </c>
    </row>
    <row r="193" customFormat="false" ht="393.25" hidden="false" customHeight="false" outlineLevel="0" collapsed="false">
      <c r="A193" s="7" t="s">
        <v>1861</v>
      </c>
      <c r="B193" s="7" t="s">
        <v>97</v>
      </c>
      <c r="C193" s="7" t="s">
        <v>1349</v>
      </c>
      <c r="D193" s="7" t="s">
        <v>1858</v>
      </c>
      <c r="E193" s="7" t="s">
        <v>1859</v>
      </c>
      <c r="F193" s="7" t="s">
        <v>1207</v>
      </c>
      <c r="G193" s="7" t="s">
        <v>1860</v>
      </c>
      <c r="H193" s="7" t="s">
        <v>1209</v>
      </c>
      <c r="I193" s="8" t="n">
        <v>0.1</v>
      </c>
      <c r="J193" s="7" t="s">
        <v>367</v>
      </c>
      <c r="K193" s="7" t="s">
        <v>2463</v>
      </c>
      <c r="L193" s="7" t="s">
        <v>2464</v>
      </c>
      <c r="M193" s="7" t="s">
        <v>2433</v>
      </c>
      <c r="N193" s="7" t="s">
        <v>2434</v>
      </c>
      <c r="O193" s="7" t="s">
        <v>2465</v>
      </c>
      <c r="P193" s="7" t="s">
        <v>2466</v>
      </c>
      <c r="Q193" s="7" t="s">
        <v>2504</v>
      </c>
      <c r="R193" s="7"/>
      <c r="S193" s="7" t="s">
        <v>569</v>
      </c>
      <c r="T193" s="7" t="s">
        <v>568</v>
      </c>
      <c r="U193" s="7" t="s">
        <v>2438</v>
      </c>
      <c r="V193" s="7" t="s">
        <v>2439</v>
      </c>
      <c r="W193" s="7" t="s">
        <v>2440</v>
      </c>
      <c r="X193" s="7" t="s">
        <v>2441</v>
      </c>
      <c r="Y193" s="7" t="s">
        <v>2484</v>
      </c>
      <c r="Z193" s="7" t="s">
        <v>2442</v>
      </c>
    </row>
    <row r="194" customFormat="false" ht="158.2" hidden="false" customHeight="false" outlineLevel="0" collapsed="false">
      <c r="A194" s="7" t="s">
        <v>1865</v>
      </c>
      <c r="B194" s="7" t="s">
        <v>97</v>
      </c>
      <c r="C194" s="7" t="s">
        <v>1349</v>
      </c>
      <c r="D194" s="7" t="s">
        <v>1862</v>
      </c>
      <c r="E194" s="7" t="s">
        <v>900</v>
      </c>
      <c r="F194" s="7" t="s">
        <v>1207</v>
      </c>
      <c r="G194" s="7" t="s">
        <v>1863</v>
      </c>
      <c r="H194" s="7" t="s">
        <v>1864</v>
      </c>
      <c r="I194" s="8" t="n">
        <v>0.3</v>
      </c>
      <c r="J194" s="7" t="s">
        <v>367</v>
      </c>
      <c r="K194" s="7" t="s">
        <v>2463</v>
      </c>
      <c r="L194" s="7" t="s">
        <v>2464</v>
      </c>
      <c r="M194" s="7" t="s">
        <v>2433</v>
      </c>
      <c r="N194" s="7" t="s">
        <v>2434</v>
      </c>
      <c r="O194" s="7" t="s">
        <v>2465</v>
      </c>
      <c r="P194" s="7" t="s">
        <v>2466</v>
      </c>
      <c r="Q194" s="7" t="s">
        <v>2504</v>
      </c>
      <c r="R194" s="7"/>
      <c r="S194" s="7" t="s">
        <v>569</v>
      </c>
      <c r="T194" s="7" t="s">
        <v>568</v>
      </c>
      <c r="U194" s="7" t="s">
        <v>2438</v>
      </c>
      <c r="V194" s="7" t="s">
        <v>2439</v>
      </c>
      <c r="W194" s="7" t="s">
        <v>2440</v>
      </c>
      <c r="X194" s="7" t="s">
        <v>2441</v>
      </c>
      <c r="Y194" s="7" t="s">
        <v>2484</v>
      </c>
      <c r="Z194" s="7" t="s">
        <v>2442</v>
      </c>
    </row>
    <row r="195" customFormat="false" ht="158.2" hidden="false" customHeight="false" outlineLevel="0" collapsed="false">
      <c r="A195" s="7" t="s">
        <v>1871</v>
      </c>
      <c r="B195" s="7" t="s">
        <v>97</v>
      </c>
      <c r="C195" s="7" t="s">
        <v>1349</v>
      </c>
      <c r="D195" s="7" t="s">
        <v>1867</v>
      </c>
      <c r="E195" s="7" t="s">
        <v>1868</v>
      </c>
      <c r="F195" s="7" t="s">
        <v>1207</v>
      </c>
      <c r="G195" s="7" t="s">
        <v>1869</v>
      </c>
      <c r="H195" s="7" t="s">
        <v>1870</v>
      </c>
      <c r="I195" s="8" t="n">
        <v>0.3</v>
      </c>
      <c r="J195" s="7" t="s">
        <v>367</v>
      </c>
      <c r="K195" s="7" t="s">
        <v>2463</v>
      </c>
      <c r="L195" s="7" t="s">
        <v>2464</v>
      </c>
      <c r="M195" s="7" t="s">
        <v>2433</v>
      </c>
      <c r="N195" s="7" t="s">
        <v>2434</v>
      </c>
      <c r="O195" s="7" t="s">
        <v>2465</v>
      </c>
      <c r="P195" s="7" t="s">
        <v>2466</v>
      </c>
      <c r="Q195" s="7" t="s">
        <v>2504</v>
      </c>
      <c r="R195" s="7"/>
      <c r="S195" s="7" t="s">
        <v>569</v>
      </c>
      <c r="T195" s="7" t="s">
        <v>568</v>
      </c>
      <c r="U195" s="7" t="s">
        <v>2438</v>
      </c>
      <c r="V195" s="7" t="s">
        <v>2439</v>
      </c>
      <c r="W195" s="7" t="s">
        <v>2440</v>
      </c>
      <c r="X195" s="7" t="s">
        <v>2441</v>
      </c>
      <c r="Y195" s="7" t="s">
        <v>2484</v>
      </c>
      <c r="Z195" s="7" t="s">
        <v>2442</v>
      </c>
    </row>
    <row r="196" customFormat="false" ht="158.2" hidden="false" customHeight="false" outlineLevel="0" collapsed="false">
      <c r="A196" s="7" t="s">
        <v>1876</v>
      </c>
      <c r="B196" s="7" t="s">
        <v>97</v>
      </c>
      <c r="C196" s="7" t="s">
        <v>1349</v>
      </c>
      <c r="D196" s="7" t="s">
        <v>1872</v>
      </c>
      <c r="E196" s="7" t="s">
        <v>1873</v>
      </c>
      <c r="F196" s="7" t="s">
        <v>1207</v>
      </c>
      <c r="G196" s="7" t="s">
        <v>1874</v>
      </c>
      <c r="H196" s="7" t="s">
        <v>1875</v>
      </c>
      <c r="I196" s="8" t="n">
        <v>0.3</v>
      </c>
      <c r="J196" s="7" t="s">
        <v>367</v>
      </c>
      <c r="K196" s="7" t="s">
        <v>2463</v>
      </c>
      <c r="L196" s="7" t="s">
        <v>2464</v>
      </c>
      <c r="M196" s="7" t="s">
        <v>2433</v>
      </c>
      <c r="N196" s="7" t="s">
        <v>2434</v>
      </c>
      <c r="O196" s="7" t="s">
        <v>2465</v>
      </c>
      <c r="P196" s="7" t="s">
        <v>2466</v>
      </c>
      <c r="Q196" s="7" t="s">
        <v>2504</v>
      </c>
      <c r="R196" s="7"/>
      <c r="S196" s="7" t="s">
        <v>569</v>
      </c>
      <c r="T196" s="7" t="s">
        <v>568</v>
      </c>
      <c r="U196" s="7" t="s">
        <v>2438</v>
      </c>
      <c r="V196" s="7" t="s">
        <v>2439</v>
      </c>
      <c r="W196" s="7" t="s">
        <v>2440</v>
      </c>
      <c r="X196" s="7" t="s">
        <v>2441</v>
      </c>
      <c r="Y196" s="7" t="s">
        <v>2484</v>
      </c>
      <c r="Z196" s="7" t="s">
        <v>2442</v>
      </c>
    </row>
    <row r="197" customFormat="false" ht="158.2" hidden="false" customHeight="false" outlineLevel="0" collapsed="false">
      <c r="A197" s="7" t="s">
        <v>1881</v>
      </c>
      <c r="B197" s="7" t="s">
        <v>97</v>
      </c>
      <c r="C197" s="7" t="s">
        <v>1349</v>
      </c>
      <c r="D197" s="7" t="s">
        <v>1877</v>
      </c>
      <c r="E197" s="7" t="s">
        <v>1878</v>
      </c>
      <c r="F197" s="7" t="s">
        <v>1207</v>
      </c>
      <c r="G197" s="7" t="s">
        <v>1879</v>
      </c>
      <c r="H197" s="7" t="s">
        <v>1880</v>
      </c>
      <c r="I197" s="8" t="n">
        <v>0.3</v>
      </c>
      <c r="J197" s="7" t="s">
        <v>367</v>
      </c>
      <c r="K197" s="7" t="s">
        <v>2463</v>
      </c>
      <c r="L197" s="7" t="s">
        <v>2464</v>
      </c>
      <c r="M197" s="7" t="s">
        <v>2433</v>
      </c>
      <c r="N197" s="7" t="s">
        <v>2434</v>
      </c>
      <c r="O197" s="7" t="s">
        <v>2465</v>
      </c>
      <c r="P197" s="7" t="s">
        <v>2466</v>
      </c>
      <c r="Q197" s="7" t="s">
        <v>2504</v>
      </c>
      <c r="R197" s="7" t="s">
        <v>2516</v>
      </c>
      <c r="S197" s="7" t="s">
        <v>557</v>
      </c>
      <c r="T197" s="7" t="s">
        <v>556</v>
      </c>
      <c r="U197" s="7" t="s">
        <v>2438</v>
      </c>
      <c r="V197" s="7" t="s">
        <v>2439</v>
      </c>
      <c r="W197" s="7" t="s">
        <v>2440</v>
      </c>
      <c r="X197" s="7" t="s">
        <v>2441</v>
      </c>
      <c r="Y197" s="7" t="s">
        <v>2484</v>
      </c>
      <c r="Z197" s="7" t="s">
        <v>2442</v>
      </c>
    </row>
    <row r="198" customFormat="false" ht="158.2" hidden="false" customHeight="false" outlineLevel="0" collapsed="false">
      <c r="A198" s="7" t="s">
        <v>1884</v>
      </c>
      <c r="B198" s="7" t="s">
        <v>97</v>
      </c>
      <c r="C198" s="7" t="s">
        <v>1349</v>
      </c>
      <c r="D198" s="7" t="s">
        <v>1882</v>
      </c>
      <c r="E198" s="7" t="s">
        <v>909</v>
      </c>
      <c r="F198" s="7" t="s">
        <v>1207</v>
      </c>
      <c r="G198" s="7" t="s">
        <v>1883</v>
      </c>
      <c r="H198" s="7" t="s">
        <v>1233</v>
      </c>
      <c r="I198" s="8" t="n">
        <v>0.2</v>
      </c>
      <c r="J198" s="7" t="s">
        <v>250</v>
      </c>
      <c r="K198" s="7" t="s">
        <v>2452</v>
      </c>
      <c r="L198" s="7" t="s">
        <v>2453</v>
      </c>
      <c r="M198" s="7" t="s">
        <v>2433</v>
      </c>
      <c r="N198" s="7" t="s">
        <v>2434</v>
      </c>
      <c r="O198" s="7" t="s">
        <v>2454</v>
      </c>
      <c r="P198" s="7" t="s">
        <v>2455</v>
      </c>
      <c r="Q198" s="7" t="s">
        <v>2504</v>
      </c>
      <c r="R198" s="7"/>
      <c r="S198" s="7" t="s">
        <v>569</v>
      </c>
      <c r="T198" s="7" t="s">
        <v>568</v>
      </c>
      <c r="U198" s="7" t="s">
        <v>2438</v>
      </c>
      <c r="V198" s="7" t="s">
        <v>2439</v>
      </c>
      <c r="W198" s="7" t="s">
        <v>2440</v>
      </c>
      <c r="X198" s="7" t="s">
        <v>2441</v>
      </c>
      <c r="Y198" s="7" t="s">
        <v>2484</v>
      </c>
      <c r="Z198" s="7" t="s">
        <v>2442</v>
      </c>
    </row>
    <row r="199" customFormat="false" ht="158.2" hidden="false" customHeight="false" outlineLevel="0" collapsed="false">
      <c r="A199" s="7" t="s">
        <v>1888</v>
      </c>
      <c r="B199" s="7" t="s">
        <v>97</v>
      </c>
      <c r="C199" s="7" t="s">
        <v>1349</v>
      </c>
      <c r="D199" s="7" t="s">
        <v>1885</v>
      </c>
      <c r="E199" s="7" t="s">
        <v>1886</v>
      </c>
      <c r="F199" s="7" t="s">
        <v>1207</v>
      </c>
      <c r="G199" s="7" t="s">
        <v>1887</v>
      </c>
      <c r="H199" s="7" t="s">
        <v>1241</v>
      </c>
      <c r="I199" s="8" t="n">
        <v>0.3</v>
      </c>
      <c r="J199" s="7" t="s">
        <v>367</v>
      </c>
      <c r="K199" s="7" t="s">
        <v>2463</v>
      </c>
      <c r="L199" s="7" t="s">
        <v>2464</v>
      </c>
      <c r="M199" s="7" t="s">
        <v>2433</v>
      </c>
      <c r="N199" s="7" t="s">
        <v>2434</v>
      </c>
      <c r="O199" s="7" t="s">
        <v>2465</v>
      </c>
      <c r="P199" s="7" t="s">
        <v>2466</v>
      </c>
      <c r="Q199" s="7" t="s">
        <v>2504</v>
      </c>
      <c r="R199" s="7"/>
      <c r="S199" s="7" t="s">
        <v>569</v>
      </c>
      <c r="T199" s="7" t="s">
        <v>568</v>
      </c>
      <c r="U199" s="7" t="s">
        <v>2438</v>
      </c>
      <c r="V199" s="7" t="s">
        <v>2439</v>
      </c>
      <c r="W199" s="7" t="s">
        <v>2440</v>
      </c>
      <c r="X199" s="7" t="s">
        <v>2441</v>
      </c>
      <c r="Y199" s="7" t="s">
        <v>2484</v>
      </c>
      <c r="Z199" s="7" t="s">
        <v>2442</v>
      </c>
    </row>
    <row r="200" customFormat="false" ht="158.2" hidden="false" customHeight="false" outlineLevel="0" collapsed="false">
      <c r="A200" s="7" t="s">
        <v>1892</v>
      </c>
      <c r="B200" s="7" t="s">
        <v>97</v>
      </c>
      <c r="C200" s="7" t="s">
        <v>1349</v>
      </c>
      <c r="D200" s="7" t="s">
        <v>1889</v>
      </c>
      <c r="E200" s="7" t="s">
        <v>1890</v>
      </c>
      <c r="F200" s="7" t="s">
        <v>1207</v>
      </c>
      <c r="G200" s="7" t="s">
        <v>1891</v>
      </c>
      <c r="H200" s="7" t="s">
        <v>1241</v>
      </c>
      <c r="I200" s="8" t="n">
        <v>0.4</v>
      </c>
      <c r="J200" s="7" t="s">
        <v>367</v>
      </c>
      <c r="K200" s="7" t="s">
        <v>2463</v>
      </c>
      <c r="L200" s="7" t="s">
        <v>2464</v>
      </c>
      <c r="M200" s="7" t="s">
        <v>2433</v>
      </c>
      <c r="N200" s="7" t="s">
        <v>2434</v>
      </c>
      <c r="O200" s="7" t="s">
        <v>2465</v>
      </c>
      <c r="P200" s="7" t="s">
        <v>2466</v>
      </c>
      <c r="Q200" s="7" t="s">
        <v>2504</v>
      </c>
      <c r="R200" s="7"/>
      <c r="S200" s="7" t="s">
        <v>569</v>
      </c>
      <c r="T200" s="7" t="s">
        <v>568</v>
      </c>
      <c r="U200" s="7" t="s">
        <v>2438</v>
      </c>
      <c r="V200" s="7" t="s">
        <v>2439</v>
      </c>
      <c r="W200" s="7" t="s">
        <v>2440</v>
      </c>
      <c r="X200" s="7" t="s">
        <v>2441</v>
      </c>
      <c r="Y200" s="7" t="s">
        <v>2484</v>
      </c>
      <c r="Z200" s="7" t="s">
        <v>2442</v>
      </c>
    </row>
    <row r="201" customFormat="false" ht="158.2" hidden="false" customHeight="false" outlineLevel="0" collapsed="false">
      <c r="A201" s="7" t="s">
        <v>1897</v>
      </c>
      <c r="B201" s="7" t="s">
        <v>97</v>
      </c>
      <c r="C201" s="7" t="s">
        <v>1349</v>
      </c>
      <c r="D201" s="7" t="s">
        <v>1894</v>
      </c>
      <c r="E201" s="7" t="s">
        <v>1895</v>
      </c>
      <c r="F201" s="7" t="s">
        <v>1207</v>
      </c>
      <c r="G201" s="7" t="s">
        <v>1896</v>
      </c>
      <c r="H201" s="7" t="s">
        <v>1241</v>
      </c>
      <c r="I201" s="8" t="n">
        <v>0.3</v>
      </c>
      <c r="J201" s="7" t="s">
        <v>367</v>
      </c>
      <c r="K201" s="7" t="s">
        <v>2463</v>
      </c>
      <c r="L201" s="7" t="s">
        <v>2464</v>
      </c>
      <c r="M201" s="7" t="s">
        <v>2433</v>
      </c>
      <c r="N201" s="7" t="s">
        <v>2434</v>
      </c>
      <c r="O201" s="7" t="s">
        <v>2465</v>
      </c>
      <c r="P201" s="7" t="s">
        <v>2466</v>
      </c>
      <c r="Q201" s="7" t="s">
        <v>2504</v>
      </c>
      <c r="R201" s="7"/>
      <c r="S201" s="7" t="s">
        <v>569</v>
      </c>
      <c r="T201" s="7" t="s">
        <v>568</v>
      </c>
      <c r="U201" s="7" t="s">
        <v>2438</v>
      </c>
      <c r="V201" s="7" t="s">
        <v>2439</v>
      </c>
      <c r="W201" s="7" t="s">
        <v>2440</v>
      </c>
      <c r="X201" s="7" t="s">
        <v>2441</v>
      </c>
      <c r="Y201" s="7" t="s">
        <v>2484</v>
      </c>
      <c r="Z201" s="7" t="s">
        <v>2442</v>
      </c>
    </row>
    <row r="202" customFormat="false" ht="169.4" hidden="false" customHeight="false" outlineLevel="0" collapsed="false">
      <c r="A202" s="7" t="s">
        <v>1900</v>
      </c>
      <c r="B202" s="7" t="s">
        <v>97</v>
      </c>
      <c r="C202" s="7" t="s">
        <v>1349</v>
      </c>
      <c r="D202" s="7" t="s">
        <v>1898</v>
      </c>
      <c r="E202" s="7" t="s">
        <v>948</v>
      </c>
      <c r="F202" s="7" t="s">
        <v>613</v>
      </c>
      <c r="G202" s="7" t="s">
        <v>1899</v>
      </c>
      <c r="H202" s="7" t="s">
        <v>1254</v>
      </c>
      <c r="I202" s="8" t="n">
        <v>0.4</v>
      </c>
      <c r="J202" s="7" t="s">
        <v>523</v>
      </c>
      <c r="K202" s="7" t="s">
        <v>2468</v>
      </c>
      <c r="L202" s="7" t="s">
        <v>2469</v>
      </c>
      <c r="M202" s="7" t="s">
        <v>2433</v>
      </c>
      <c r="N202" s="7" t="s">
        <v>2434</v>
      </c>
      <c r="O202" s="7" t="s">
        <v>2470</v>
      </c>
      <c r="P202" s="7" t="s">
        <v>2471</v>
      </c>
      <c r="Q202" s="7" t="s">
        <v>2494</v>
      </c>
      <c r="R202" s="7"/>
      <c r="S202" s="7" t="s">
        <v>569</v>
      </c>
      <c r="T202" s="7" t="s">
        <v>568</v>
      </c>
      <c r="U202" s="7" t="s">
        <v>2438</v>
      </c>
      <c r="V202" s="7" t="s">
        <v>2439</v>
      </c>
      <c r="W202" s="7" t="s">
        <v>2440</v>
      </c>
      <c r="X202" s="7" t="s">
        <v>2441</v>
      </c>
      <c r="Y202" s="7" t="s">
        <v>2484</v>
      </c>
      <c r="Z202" s="7" t="s">
        <v>2442</v>
      </c>
    </row>
    <row r="203" customFormat="false" ht="169.4" hidden="false" customHeight="false" outlineLevel="0" collapsed="false">
      <c r="A203" s="7" t="s">
        <v>1903</v>
      </c>
      <c r="B203" s="7" t="s">
        <v>97</v>
      </c>
      <c r="C203" s="7" t="s">
        <v>1349</v>
      </c>
      <c r="D203" s="7" t="s">
        <v>1901</v>
      </c>
      <c r="E203" s="7" t="s">
        <v>952</v>
      </c>
      <c r="F203" s="7" t="s">
        <v>613</v>
      </c>
      <c r="G203" s="7" t="s">
        <v>1902</v>
      </c>
      <c r="H203" s="7" t="s">
        <v>1254</v>
      </c>
      <c r="I203" s="8" t="n">
        <v>0.1</v>
      </c>
      <c r="J203" s="7" t="s">
        <v>523</v>
      </c>
      <c r="K203" s="7" t="s">
        <v>2468</v>
      </c>
      <c r="L203" s="7" t="s">
        <v>2469</v>
      </c>
      <c r="M203" s="7" t="s">
        <v>2433</v>
      </c>
      <c r="N203" s="7" t="s">
        <v>2434</v>
      </c>
      <c r="O203" s="7" t="s">
        <v>2470</v>
      </c>
      <c r="P203" s="7" t="s">
        <v>2471</v>
      </c>
      <c r="Q203" s="7" t="s">
        <v>2494</v>
      </c>
      <c r="R203" s="7"/>
      <c r="S203" s="7" t="s">
        <v>569</v>
      </c>
      <c r="T203" s="7" t="s">
        <v>568</v>
      </c>
      <c r="U203" s="7" t="s">
        <v>2438</v>
      </c>
      <c r="V203" s="7" t="s">
        <v>2439</v>
      </c>
      <c r="W203" s="7" t="s">
        <v>2440</v>
      </c>
      <c r="X203" s="7" t="s">
        <v>2441</v>
      </c>
      <c r="Y203" s="7" t="s">
        <v>2484</v>
      </c>
      <c r="Z203" s="7" t="s">
        <v>2442</v>
      </c>
    </row>
    <row r="204" customFormat="false" ht="169.4" hidden="false" customHeight="false" outlineLevel="0" collapsed="false">
      <c r="A204" s="7" t="s">
        <v>1906</v>
      </c>
      <c r="B204" s="7" t="s">
        <v>97</v>
      </c>
      <c r="C204" s="7" t="s">
        <v>1349</v>
      </c>
      <c r="D204" s="7" t="s">
        <v>1904</v>
      </c>
      <c r="E204" s="7" t="s">
        <v>956</v>
      </c>
      <c r="F204" s="7" t="s">
        <v>613</v>
      </c>
      <c r="G204" s="7" t="s">
        <v>1905</v>
      </c>
      <c r="H204" s="7" t="s">
        <v>1254</v>
      </c>
      <c r="I204" s="8" t="n">
        <v>0.1</v>
      </c>
      <c r="J204" s="7" t="s">
        <v>523</v>
      </c>
      <c r="K204" s="7" t="s">
        <v>2468</v>
      </c>
      <c r="L204" s="7" t="s">
        <v>2469</v>
      </c>
      <c r="M204" s="7" t="s">
        <v>2433</v>
      </c>
      <c r="N204" s="7" t="s">
        <v>2434</v>
      </c>
      <c r="O204" s="7" t="s">
        <v>2470</v>
      </c>
      <c r="P204" s="7" t="s">
        <v>2471</v>
      </c>
      <c r="Q204" s="7" t="s">
        <v>2494</v>
      </c>
      <c r="R204" s="7"/>
      <c r="S204" s="7" t="s">
        <v>569</v>
      </c>
      <c r="T204" s="7" t="s">
        <v>568</v>
      </c>
      <c r="U204" s="7" t="s">
        <v>2438</v>
      </c>
      <c r="V204" s="7" t="s">
        <v>2439</v>
      </c>
      <c r="W204" s="7" t="s">
        <v>2440</v>
      </c>
      <c r="X204" s="7" t="s">
        <v>2441</v>
      </c>
      <c r="Y204" s="7" t="s">
        <v>2484</v>
      </c>
      <c r="Z204" s="7" t="s">
        <v>2442</v>
      </c>
    </row>
    <row r="205" customFormat="false" ht="158.2" hidden="false" customHeight="false" outlineLevel="0" collapsed="false">
      <c r="A205" s="7" t="s">
        <v>1910</v>
      </c>
      <c r="B205" s="7" t="s">
        <v>97</v>
      </c>
      <c r="C205" s="7" t="s">
        <v>1349</v>
      </c>
      <c r="D205" s="7" t="s">
        <v>1907</v>
      </c>
      <c r="E205" s="7" t="s">
        <v>1908</v>
      </c>
      <c r="F205" s="7" t="s">
        <v>613</v>
      </c>
      <c r="G205" s="7" t="s">
        <v>1909</v>
      </c>
      <c r="H205" s="7" t="s">
        <v>1262</v>
      </c>
      <c r="I205" s="8" t="n">
        <v>0.3</v>
      </c>
      <c r="J205" s="7" t="s">
        <v>627</v>
      </c>
      <c r="K205" s="7" t="s">
        <v>2495</v>
      </c>
      <c r="L205" s="7" t="s">
        <v>2496</v>
      </c>
      <c r="M205" s="7" t="s">
        <v>2433</v>
      </c>
      <c r="N205" s="7" t="s">
        <v>2434</v>
      </c>
      <c r="O205" s="7" t="s">
        <v>2491</v>
      </c>
      <c r="P205" s="7" t="s">
        <v>2497</v>
      </c>
      <c r="Q205" s="7" t="s">
        <v>2494</v>
      </c>
      <c r="R205" s="7"/>
      <c r="S205" s="7"/>
      <c r="T205" s="7" t="s">
        <v>1065</v>
      </c>
      <c r="U205" s="7" t="s">
        <v>2438</v>
      </c>
      <c r="V205" s="7" t="s">
        <v>2439</v>
      </c>
      <c r="W205" s="7" t="s">
        <v>2440</v>
      </c>
      <c r="X205" s="7" t="s">
        <v>2441</v>
      </c>
      <c r="Y205" s="7" t="s">
        <v>2484</v>
      </c>
      <c r="Z205" s="7" t="s">
        <v>2442</v>
      </c>
    </row>
    <row r="206" customFormat="false" ht="158.2" hidden="false" customHeight="false" outlineLevel="0" collapsed="false">
      <c r="A206" s="7" t="s">
        <v>1915</v>
      </c>
      <c r="B206" s="7" t="s">
        <v>97</v>
      </c>
      <c r="C206" s="7" t="s">
        <v>1349</v>
      </c>
      <c r="D206" s="7" t="s">
        <v>1911</v>
      </c>
      <c r="E206" s="7" t="s">
        <v>1912</v>
      </c>
      <c r="F206" s="7" t="s">
        <v>613</v>
      </c>
      <c r="G206" s="7" t="s">
        <v>1913</v>
      </c>
      <c r="H206" s="7" t="s">
        <v>1914</v>
      </c>
      <c r="I206" s="8" t="n">
        <v>0.5</v>
      </c>
      <c r="J206" s="7" t="s">
        <v>250</v>
      </c>
      <c r="K206" s="7" t="s">
        <v>2452</v>
      </c>
      <c r="L206" s="7" t="s">
        <v>2453</v>
      </c>
      <c r="M206" s="7" t="s">
        <v>2433</v>
      </c>
      <c r="N206" s="7" t="s">
        <v>2434</v>
      </c>
      <c r="O206" s="7" t="s">
        <v>2454</v>
      </c>
      <c r="P206" s="7" t="s">
        <v>2455</v>
      </c>
      <c r="Q206" s="7" t="s">
        <v>2494</v>
      </c>
      <c r="R206" s="7" t="s">
        <v>2517</v>
      </c>
      <c r="S206" s="7" t="s">
        <v>569</v>
      </c>
      <c r="T206" s="7" t="s">
        <v>568</v>
      </c>
      <c r="U206" s="7" t="s">
        <v>2438</v>
      </c>
      <c r="V206" s="7" t="s">
        <v>2439</v>
      </c>
      <c r="W206" s="7" t="s">
        <v>2440</v>
      </c>
      <c r="X206" s="7" t="s">
        <v>2441</v>
      </c>
      <c r="Y206" s="7" t="s">
        <v>2484</v>
      </c>
      <c r="Z206" s="7" t="s">
        <v>2442</v>
      </c>
    </row>
    <row r="207" customFormat="false" ht="158.2" hidden="false" customHeight="false" outlineLevel="0" collapsed="false">
      <c r="A207" s="7" t="s">
        <v>1919</v>
      </c>
      <c r="B207" s="7" t="s">
        <v>97</v>
      </c>
      <c r="C207" s="7" t="s">
        <v>1349</v>
      </c>
      <c r="D207" s="7" t="s">
        <v>1916</v>
      </c>
      <c r="E207" s="7" t="s">
        <v>1917</v>
      </c>
      <c r="F207" s="7" t="s">
        <v>613</v>
      </c>
      <c r="G207" s="7" t="s">
        <v>1918</v>
      </c>
      <c r="H207" s="7" t="s">
        <v>1914</v>
      </c>
      <c r="I207" s="8" t="n">
        <v>0.2</v>
      </c>
      <c r="J207" s="7" t="s">
        <v>347</v>
      </c>
      <c r="K207" s="7" t="s">
        <v>2458</v>
      </c>
      <c r="L207" s="7" t="s">
        <v>2459</v>
      </c>
      <c r="M207" s="7" t="s">
        <v>2433</v>
      </c>
      <c r="N207" s="7" t="s">
        <v>2434</v>
      </c>
      <c r="O207" s="7" t="s">
        <v>2460</v>
      </c>
      <c r="P207" s="7" t="s">
        <v>2461</v>
      </c>
      <c r="Q207" s="7" t="s">
        <v>2494</v>
      </c>
      <c r="R207" s="7"/>
      <c r="S207" s="7" t="s">
        <v>569</v>
      </c>
      <c r="T207" s="7" t="s">
        <v>568</v>
      </c>
      <c r="U207" s="7" t="s">
        <v>2438</v>
      </c>
      <c r="V207" s="7" t="s">
        <v>2439</v>
      </c>
      <c r="W207" s="7" t="s">
        <v>2440</v>
      </c>
      <c r="X207" s="7" t="s">
        <v>2441</v>
      </c>
      <c r="Y207" s="7" t="s">
        <v>2484</v>
      </c>
      <c r="Z207" s="7" t="s">
        <v>2442</v>
      </c>
    </row>
    <row r="208" customFormat="false" ht="158.2" hidden="false" customHeight="false" outlineLevel="0" collapsed="false">
      <c r="A208" s="7" t="s">
        <v>1924</v>
      </c>
      <c r="B208" s="7" t="s">
        <v>97</v>
      </c>
      <c r="C208" s="7" t="s">
        <v>1349</v>
      </c>
      <c r="D208" s="7" t="s">
        <v>1921</v>
      </c>
      <c r="E208" s="7" t="s">
        <v>1922</v>
      </c>
      <c r="F208" s="7" t="s">
        <v>613</v>
      </c>
      <c r="G208" s="7" t="s">
        <v>1923</v>
      </c>
      <c r="H208" s="7" t="s">
        <v>1914</v>
      </c>
      <c r="I208" s="8" t="n">
        <v>0.4</v>
      </c>
      <c r="J208" s="7" t="s">
        <v>347</v>
      </c>
      <c r="K208" s="7" t="s">
        <v>2458</v>
      </c>
      <c r="L208" s="7" t="s">
        <v>2459</v>
      </c>
      <c r="M208" s="7" t="s">
        <v>2433</v>
      </c>
      <c r="N208" s="7" t="s">
        <v>2434</v>
      </c>
      <c r="O208" s="7" t="s">
        <v>2460</v>
      </c>
      <c r="P208" s="7" t="s">
        <v>2461</v>
      </c>
      <c r="Q208" s="7" t="s">
        <v>2494</v>
      </c>
      <c r="R208" s="7"/>
      <c r="S208" s="7" t="s">
        <v>569</v>
      </c>
      <c r="T208" s="7" t="s">
        <v>568</v>
      </c>
      <c r="U208" s="7" t="s">
        <v>2438</v>
      </c>
      <c r="V208" s="7" t="s">
        <v>2439</v>
      </c>
      <c r="W208" s="7" t="s">
        <v>2440</v>
      </c>
      <c r="X208" s="7" t="s">
        <v>2441</v>
      </c>
      <c r="Y208" s="7" t="s">
        <v>2484</v>
      </c>
      <c r="Z208" s="7" t="s">
        <v>2442</v>
      </c>
    </row>
    <row r="209" customFormat="false" ht="158.2" hidden="false" customHeight="false" outlineLevel="0" collapsed="false">
      <c r="A209" s="7" t="s">
        <v>1928</v>
      </c>
      <c r="B209" s="7" t="s">
        <v>97</v>
      </c>
      <c r="C209" s="7" t="s">
        <v>1349</v>
      </c>
      <c r="D209" s="7" t="s">
        <v>1925</v>
      </c>
      <c r="E209" s="7" t="s">
        <v>1926</v>
      </c>
      <c r="F209" s="7" t="s">
        <v>613</v>
      </c>
      <c r="G209" s="7" t="s">
        <v>1927</v>
      </c>
      <c r="H209" s="7" t="s">
        <v>1914</v>
      </c>
      <c r="I209" s="8" t="n">
        <v>0.2</v>
      </c>
      <c r="J209" s="7" t="s">
        <v>347</v>
      </c>
      <c r="K209" s="7" t="s">
        <v>2458</v>
      </c>
      <c r="L209" s="7" t="s">
        <v>2459</v>
      </c>
      <c r="M209" s="7" t="s">
        <v>2433</v>
      </c>
      <c r="N209" s="7" t="s">
        <v>2434</v>
      </c>
      <c r="O209" s="7" t="s">
        <v>2460</v>
      </c>
      <c r="P209" s="7" t="s">
        <v>2461</v>
      </c>
      <c r="Q209" s="7" t="s">
        <v>2494</v>
      </c>
      <c r="R209" s="7"/>
      <c r="S209" s="7" t="s">
        <v>569</v>
      </c>
      <c r="T209" s="7" t="s">
        <v>568</v>
      </c>
      <c r="U209" s="7" t="s">
        <v>2438</v>
      </c>
      <c r="V209" s="7" t="s">
        <v>2439</v>
      </c>
      <c r="W209" s="7" t="s">
        <v>2440</v>
      </c>
      <c r="X209" s="7" t="s">
        <v>2441</v>
      </c>
      <c r="Y209" s="7" t="s">
        <v>2484</v>
      </c>
      <c r="Z209" s="7" t="s">
        <v>2442</v>
      </c>
    </row>
    <row r="210" customFormat="false" ht="158.2" hidden="false" customHeight="false" outlineLevel="0" collapsed="false">
      <c r="A210" s="7" t="s">
        <v>1933</v>
      </c>
      <c r="B210" s="7" t="s">
        <v>97</v>
      </c>
      <c r="C210" s="7" t="s">
        <v>1349</v>
      </c>
      <c r="D210" s="7" t="s">
        <v>1929</v>
      </c>
      <c r="E210" s="7" t="s">
        <v>1930</v>
      </c>
      <c r="F210" s="7" t="s">
        <v>613</v>
      </c>
      <c r="G210" s="7" t="s">
        <v>1931</v>
      </c>
      <c r="H210" s="7" t="s">
        <v>1932</v>
      </c>
      <c r="I210" s="8" t="n">
        <v>0.1</v>
      </c>
      <c r="J210" s="7" t="s">
        <v>598</v>
      </c>
      <c r="K210" s="7" t="s">
        <v>2489</v>
      </c>
      <c r="L210" s="7" t="s">
        <v>2490</v>
      </c>
      <c r="M210" s="7" t="s">
        <v>2433</v>
      </c>
      <c r="N210" s="7" t="s">
        <v>2434</v>
      </c>
      <c r="O210" s="7" t="s">
        <v>2491</v>
      </c>
      <c r="P210" s="7" t="s">
        <v>2492</v>
      </c>
      <c r="Q210" s="7" t="s">
        <v>2494</v>
      </c>
      <c r="R210" s="7"/>
      <c r="S210" s="7" t="s">
        <v>569</v>
      </c>
      <c r="T210" s="7" t="s">
        <v>568</v>
      </c>
      <c r="U210" s="7" t="s">
        <v>2438</v>
      </c>
      <c r="V210" s="7" t="s">
        <v>2439</v>
      </c>
      <c r="W210" s="7" t="s">
        <v>2440</v>
      </c>
      <c r="X210" s="7" t="s">
        <v>2441</v>
      </c>
      <c r="Y210" s="7" t="s">
        <v>2484</v>
      </c>
      <c r="Z210" s="7" t="s">
        <v>2442</v>
      </c>
    </row>
    <row r="211" customFormat="false" ht="158.2" hidden="false" customHeight="false" outlineLevel="0" collapsed="false">
      <c r="A211" s="7" t="s">
        <v>1938</v>
      </c>
      <c r="B211" s="7" t="s">
        <v>97</v>
      </c>
      <c r="C211" s="7" t="s">
        <v>1349</v>
      </c>
      <c r="D211" s="7" t="s">
        <v>1935</v>
      </c>
      <c r="E211" s="7" t="s">
        <v>1936</v>
      </c>
      <c r="F211" s="7" t="s">
        <v>613</v>
      </c>
      <c r="G211" s="7" t="s">
        <v>1937</v>
      </c>
      <c r="H211" s="7" t="s">
        <v>1932</v>
      </c>
      <c r="I211" s="8" t="n">
        <v>0.1</v>
      </c>
      <c r="J211" s="7" t="s">
        <v>598</v>
      </c>
      <c r="K211" s="7" t="s">
        <v>2489</v>
      </c>
      <c r="L211" s="7" t="s">
        <v>2490</v>
      </c>
      <c r="M211" s="7" t="s">
        <v>2433</v>
      </c>
      <c r="N211" s="7" t="s">
        <v>2434</v>
      </c>
      <c r="O211" s="7" t="s">
        <v>2491</v>
      </c>
      <c r="P211" s="7" t="s">
        <v>2492</v>
      </c>
      <c r="Q211" s="7" t="s">
        <v>2494</v>
      </c>
      <c r="R211" s="7"/>
      <c r="S211" s="7" t="s">
        <v>569</v>
      </c>
      <c r="T211" s="7" t="s">
        <v>568</v>
      </c>
      <c r="U211" s="7" t="s">
        <v>2438</v>
      </c>
      <c r="V211" s="7" t="s">
        <v>2439</v>
      </c>
      <c r="W211" s="7" t="s">
        <v>2440</v>
      </c>
      <c r="X211" s="7" t="s">
        <v>2441</v>
      </c>
      <c r="Y211" s="7" t="s">
        <v>2484</v>
      </c>
      <c r="Z211" s="7" t="s">
        <v>2442</v>
      </c>
    </row>
    <row r="212" customFormat="false" ht="158.2" hidden="false" customHeight="false" outlineLevel="0" collapsed="false">
      <c r="A212" s="7" t="s">
        <v>1942</v>
      </c>
      <c r="B212" s="7" t="s">
        <v>97</v>
      </c>
      <c r="C212" s="7" t="s">
        <v>1349</v>
      </c>
      <c r="D212" s="7" t="s">
        <v>1939</v>
      </c>
      <c r="E212" s="7" t="s">
        <v>1940</v>
      </c>
      <c r="F212" s="7" t="s">
        <v>613</v>
      </c>
      <c r="G212" s="7" t="s">
        <v>1941</v>
      </c>
      <c r="H212" s="7" t="s">
        <v>1932</v>
      </c>
      <c r="I212" s="8" t="n">
        <v>0.1</v>
      </c>
      <c r="J212" s="7" t="s">
        <v>598</v>
      </c>
      <c r="K212" s="7" t="s">
        <v>2489</v>
      </c>
      <c r="L212" s="7" t="s">
        <v>2490</v>
      </c>
      <c r="M212" s="7" t="s">
        <v>2433</v>
      </c>
      <c r="N212" s="7" t="s">
        <v>2434</v>
      </c>
      <c r="O212" s="7" t="s">
        <v>2491</v>
      </c>
      <c r="P212" s="7" t="s">
        <v>2492</v>
      </c>
      <c r="Q212" s="7" t="s">
        <v>2494</v>
      </c>
      <c r="R212" s="7"/>
      <c r="S212" s="7" t="s">
        <v>569</v>
      </c>
      <c r="T212" s="7" t="s">
        <v>568</v>
      </c>
      <c r="U212" s="7" t="s">
        <v>2438</v>
      </c>
      <c r="V212" s="7" t="s">
        <v>2439</v>
      </c>
      <c r="W212" s="7" t="s">
        <v>2440</v>
      </c>
      <c r="X212" s="7" t="s">
        <v>2441</v>
      </c>
      <c r="Y212" s="7" t="s">
        <v>2484</v>
      </c>
      <c r="Z212" s="7" t="s">
        <v>2442</v>
      </c>
    </row>
    <row r="213" customFormat="false" ht="158.2" hidden="false" customHeight="false" outlineLevel="0" collapsed="false">
      <c r="A213" s="7" t="s">
        <v>1946</v>
      </c>
      <c r="B213" s="7" t="s">
        <v>97</v>
      </c>
      <c r="C213" s="7" t="s">
        <v>1349</v>
      </c>
      <c r="D213" s="7" t="s">
        <v>1943</v>
      </c>
      <c r="E213" s="7" t="s">
        <v>1944</v>
      </c>
      <c r="F213" s="7" t="s">
        <v>613</v>
      </c>
      <c r="G213" s="7" t="s">
        <v>1945</v>
      </c>
      <c r="H213" s="7" t="s">
        <v>1269</v>
      </c>
      <c r="I213" s="8" t="n">
        <v>0.1</v>
      </c>
      <c r="J213" s="7" t="s">
        <v>627</v>
      </c>
      <c r="K213" s="7" t="s">
        <v>2495</v>
      </c>
      <c r="L213" s="7" t="s">
        <v>2496</v>
      </c>
      <c r="M213" s="7" t="s">
        <v>2433</v>
      </c>
      <c r="N213" s="7" t="s">
        <v>2434</v>
      </c>
      <c r="O213" s="7" t="s">
        <v>2491</v>
      </c>
      <c r="P213" s="7" t="s">
        <v>2497</v>
      </c>
      <c r="Q213" s="7" t="s">
        <v>2494</v>
      </c>
      <c r="R213" s="7"/>
      <c r="S213" s="7" t="s">
        <v>1271</v>
      </c>
      <c r="T213" s="7" t="s">
        <v>556</v>
      </c>
      <c r="U213" s="7" t="s">
        <v>2438</v>
      </c>
      <c r="V213" s="7" t="s">
        <v>2439</v>
      </c>
      <c r="W213" s="7" t="s">
        <v>2440</v>
      </c>
      <c r="X213" s="7" t="s">
        <v>2441</v>
      </c>
      <c r="Y213" s="7" t="s">
        <v>2484</v>
      </c>
      <c r="Z213" s="7" t="s">
        <v>2442</v>
      </c>
    </row>
    <row r="214" customFormat="false" ht="158.2" hidden="false" customHeight="false" outlineLevel="0" collapsed="false">
      <c r="A214" s="7" t="s">
        <v>1950</v>
      </c>
      <c r="B214" s="7" t="s">
        <v>97</v>
      </c>
      <c r="C214" s="7" t="s">
        <v>1349</v>
      </c>
      <c r="D214" s="7" t="s">
        <v>1947</v>
      </c>
      <c r="E214" s="7" t="s">
        <v>1948</v>
      </c>
      <c r="F214" s="7" t="s">
        <v>613</v>
      </c>
      <c r="G214" s="7" t="s">
        <v>1949</v>
      </c>
      <c r="H214" s="7" t="s">
        <v>1269</v>
      </c>
      <c r="I214" s="8" t="n">
        <v>0.1</v>
      </c>
      <c r="J214" s="7" t="s">
        <v>627</v>
      </c>
      <c r="K214" s="7" t="s">
        <v>2495</v>
      </c>
      <c r="L214" s="7" t="s">
        <v>2496</v>
      </c>
      <c r="M214" s="7" t="s">
        <v>2433</v>
      </c>
      <c r="N214" s="7" t="s">
        <v>2434</v>
      </c>
      <c r="O214" s="7" t="s">
        <v>2491</v>
      </c>
      <c r="P214" s="7" t="s">
        <v>2497</v>
      </c>
      <c r="Q214" s="7" t="s">
        <v>2494</v>
      </c>
      <c r="R214" s="7"/>
      <c r="S214" s="7" t="s">
        <v>1271</v>
      </c>
      <c r="T214" s="7" t="s">
        <v>556</v>
      </c>
      <c r="U214" s="7" t="s">
        <v>2438</v>
      </c>
      <c r="V214" s="7" t="s">
        <v>2439</v>
      </c>
      <c r="W214" s="7" t="s">
        <v>2440</v>
      </c>
      <c r="X214" s="7" t="s">
        <v>2441</v>
      </c>
      <c r="Y214" s="7" t="s">
        <v>2484</v>
      </c>
      <c r="Z214" s="7" t="s">
        <v>2442</v>
      </c>
    </row>
    <row r="215" customFormat="false" ht="214.15" hidden="false" customHeight="false" outlineLevel="0" collapsed="false">
      <c r="A215" s="7" t="s">
        <v>1954</v>
      </c>
      <c r="B215" s="7" t="s">
        <v>97</v>
      </c>
      <c r="C215" s="7" t="s">
        <v>1349</v>
      </c>
      <c r="D215" s="7" t="s">
        <v>1951</v>
      </c>
      <c r="E215" s="7" t="s">
        <v>1952</v>
      </c>
      <c r="F215" s="7" t="s">
        <v>613</v>
      </c>
      <c r="G215" s="7" t="s">
        <v>1953</v>
      </c>
      <c r="H215" s="7" t="s">
        <v>1273</v>
      </c>
      <c r="I215" s="8" t="n">
        <v>0.3</v>
      </c>
      <c r="J215" s="7" t="s">
        <v>367</v>
      </c>
      <c r="K215" s="7" t="s">
        <v>2463</v>
      </c>
      <c r="L215" s="7" t="s">
        <v>2464</v>
      </c>
      <c r="M215" s="7" t="s">
        <v>2433</v>
      </c>
      <c r="N215" s="7" t="s">
        <v>2434</v>
      </c>
      <c r="O215" s="7" t="s">
        <v>2465</v>
      </c>
      <c r="P215" s="7" t="s">
        <v>2466</v>
      </c>
      <c r="Q215" s="7" t="s">
        <v>2494</v>
      </c>
      <c r="R215" s="7"/>
      <c r="S215" s="7" t="s">
        <v>569</v>
      </c>
      <c r="T215" s="7" t="s">
        <v>568</v>
      </c>
      <c r="U215" s="7" t="s">
        <v>2438</v>
      </c>
      <c r="V215" s="7" t="s">
        <v>2439</v>
      </c>
      <c r="W215" s="7" t="s">
        <v>2440</v>
      </c>
      <c r="X215" s="7" t="s">
        <v>2441</v>
      </c>
      <c r="Y215" s="7" t="s">
        <v>2484</v>
      </c>
      <c r="Z215" s="7" t="s">
        <v>2442</v>
      </c>
    </row>
    <row r="216" customFormat="false" ht="214.15" hidden="false" customHeight="false" outlineLevel="0" collapsed="false">
      <c r="A216" s="7" t="s">
        <v>1960</v>
      </c>
      <c r="B216" s="7" t="s">
        <v>97</v>
      </c>
      <c r="C216" s="7" t="s">
        <v>1349</v>
      </c>
      <c r="D216" s="7" t="s">
        <v>1957</v>
      </c>
      <c r="E216" s="7" t="s">
        <v>1958</v>
      </c>
      <c r="F216" s="7" t="s">
        <v>613</v>
      </c>
      <c r="G216" s="7" t="s">
        <v>1959</v>
      </c>
      <c r="H216" s="7" t="s">
        <v>1273</v>
      </c>
      <c r="I216" s="8" t="n">
        <v>0.4</v>
      </c>
      <c r="J216" s="7" t="s">
        <v>367</v>
      </c>
      <c r="K216" s="7" t="s">
        <v>2463</v>
      </c>
      <c r="L216" s="7" t="s">
        <v>2464</v>
      </c>
      <c r="M216" s="7" t="s">
        <v>2433</v>
      </c>
      <c r="N216" s="7" t="s">
        <v>2434</v>
      </c>
      <c r="O216" s="7" t="s">
        <v>2465</v>
      </c>
      <c r="P216" s="7" t="s">
        <v>2466</v>
      </c>
      <c r="Q216" s="7" t="s">
        <v>2494</v>
      </c>
      <c r="R216" s="7" t="s">
        <v>2518</v>
      </c>
      <c r="S216" s="7" t="s">
        <v>569</v>
      </c>
      <c r="T216" s="7" t="s">
        <v>568</v>
      </c>
      <c r="U216" s="7" t="s">
        <v>2438</v>
      </c>
      <c r="V216" s="7" t="s">
        <v>2439</v>
      </c>
      <c r="W216" s="7" t="s">
        <v>2440</v>
      </c>
      <c r="X216" s="7" t="s">
        <v>2441</v>
      </c>
      <c r="Y216" s="7" t="s">
        <v>2484</v>
      </c>
      <c r="Z216" s="7" t="s">
        <v>2442</v>
      </c>
    </row>
    <row r="217" customFormat="false" ht="214.15" hidden="false" customHeight="false" outlineLevel="0" collapsed="false">
      <c r="A217" s="7" t="s">
        <v>1964</v>
      </c>
      <c r="B217" s="7" t="s">
        <v>97</v>
      </c>
      <c r="C217" s="7" t="s">
        <v>1349</v>
      </c>
      <c r="D217" s="7" t="s">
        <v>1961</v>
      </c>
      <c r="E217" s="7" t="s">
        <v>1962</v>
      </c>
      <c r="F217" s="7" t="s">
        <v>613</v>
      </c>
      <c r="G217" s="7" t="s">
        <v>1963</v>
      </c>
      <c r="H217" s="7" t="s">
        <v>1273</v>
      </c>
      <c r="I217" s="8" t="n">
        <v>0.3</v>
      </c>
      <c r="J217" s="7" t="s">
        <v>367</v>
      </c>
      <c r="K217" s="7" t="s">
        <v>2463</v>
      </c>
      <c r="L217" s="7" t="s">
        <v>2464</v>
      </c>
      <c r="M217" s="7" t="s">
        <v>2433</v>
      </c>
      <c r="N217" s="7" t="s">
        <v>2434</v>
      </c>
      <c r="O217" s="7" t="s">
        <v>2465</v>
      </c>
      <c r="P217" s="7" t="s">
        <v>2466</v>
      </c>
      <c r="Q217" s="7" t="s">
        <v>2494</v>
      </c>
      <c r="R217" s="7"/>
      <c r="S217" s="7" t="s">
        <v>569</v>
      </c>
      <c r="T217" s="7" t="s">
        <v>568</v>
      </c>
      <c r="U217" s="7" t="s">
        <v>2438</v>
      </c>
      <c r="V217" s="7" t="s">
        <v>2439</v>
      </c>
      <c r="W217" s="7" t="s">
        <v>2440</v>
      </c>
      <c r="X217" s="7" t="s">
        <v>2441</v>
      </c>
      <c r="Y217" s="7" t="s">
        <v>2484</v>
      </c>
      <c r="Z217" s="7" t="s">
        <v>2442</v>
      </c>
    </row>
    <row r="218" customFormat="false" ht="214.15" hidden="false" customHeight="false" outlineLevel="0" collapsed="false">
      <c r="A218" s="7" t="s">
        <v>1968</v>
      </c>
      <c r="B218" s="7" t="s">
        <v>97</v>
      </c>
      <c r="C218" s="7" t="s">
        <v>1349</v>
      </c>
      <c r="D218" s="7" t="s">
        <v>1965</v>
      </c>
      <c r="E218" s="7" t="s">
        <v>1966</v>
      </c>
      <c r="F218" s="7" t="s">
        <v>613</v>
      </c>
      <c r="G218" s="7" t="s">
        <v>1967</v>
      </c>
      <c r="H218" s="7" t="s">
        <v>1273</v>
      </c>
      <c r="I218" s="8" t="n">
        <v>0.3</v>
      </c>
      <c r="J218" s="7" t="s">
        <v>367</v>
      </c>
      <c r="K218" s="7" t="s">
        <v>2463</v>
      </c>
      <c r="L218" s="7" t="s">
        <v>2464</v>
      </c>
      <c r="M218" s="7" t="s">
        <v>2433</v>
      </c>
      <c r="N218" s="7" t="s">
        <v>2434</v>
      </c>
      <c r="O218" s="7" t="s">
        <v>2465</v>
      </c>
      <c r="P218" s="7" t="s">
        <v>2466</v>
      </c>
      <c r="Q218" s="7" t="s">
        <v>2494</v>
      </c>
      <c r="R218" s="7"/>
      <c r="S218" s="7" t="s">
        <v>569</v>
      </c>
      <c r="T218" s="7" t="s">
        <v>568</v>
      </c>
      <c r="U218" s="7" t="s">
        <v>2438</v>
      </c>
      <c r="V218" s="7" t="s">
        <v>2439</v>
      </c>
      <c r="W218" s="7" t="s">
        <v>2440</v>
      </c>
      <c r="X218" s="7" t="s">
        <v>2441</v>
      </c>
      <c r="Y218" s="7" t="s">
        <v>2484</v>
      </c>
      <c r="Z218" s="7" t="s">
        <v>2442</v>
      </c>
    </row>
    <row r="219" customFormat="false" ht="214.15" hidden="false" customHeight="false" outlineLevel="0" collapsed="false">
      <c r="A219" s="7" t="s">
        <v>1972</v>
      </c>
      <c r="B219" s="7" t="s">
        <v>97</v>
      </c>
      <c r="C219" s="7" t="s">
        <v>1349</v>
      </c>
      <c r="D219" s="7" t="s">
        <v>1969</v>
      </c>
      <c r="E219" s="7" t="s">
        <v>1970</v>
      </c>
      <c r="F219" s="7" t="s">
        <v>613</v>
      </c>
      <c r="G219" s="7" t="s">
        <v>1971</v>
      </c>
      <c r="H219" s="7" t="s">
        <v>1273</v>
      </c>
      <c r="I219" s="8" t="n">
        <v>0.1</v>
      </c>
      <c r="J219" s="7" t="s">
        <v>367</v>
      </c>
      <c r="K219" s="7" t="s">
        <v>2463</v>
      </c>
      <c r="L219" s="7" t="s">
        <v>2464</v>
      </c>
      <c r="M219" s="7" t="s">
        <v>2433</v>
      </c>
      <c r="N219" s="7" t="s">
        <v>2434</v>
      </c>
      <c r="O219" s="7" t="s">
        <v>2465</v>
      </c>
      <c r="P219" s="7" t="s">
        <v>2466</v>
      </c>
      <c r="Q219" s="7" t="s">
        <v>2494</v>
      </c>
      <c r="R219" s="7"/>
      <c r="S219" s="7" t="s">
        <v>569</v>
      </c>
      <c r="T219" s="7" t="s">
        <v>568</v>
      </c>
      <c r="U219" s="7" t="s">
        <v>2438</v>
      </c>
      <c r="V219" s="7" t="s">
        <v>2439</v>
      </c>
      <c r="W219" s="7" t="s">
        <v>2440</v>
      </c>
      <c r="X219" s="7" t="s">
        <v>2441</v>
      </c>
      <c r="Y219" s="7" t="s">
        <v>2484</v>
      </c>
      <c r="Z219" s="7" t="s">
        <v>2442</v>
      </c>
    </row>
    <row r="220" customFormat="false" ht="158.2" hidden="false" customHeight="false" outlineLevel="0" collapsed="false">
      <c r="A220" s="7" t="s">
        <v>1977</v>
      </c>
      <c r="B220" s="7" t="s">
        <v>97</v>
      </c>
      <c r="C220" s="7" t="s">
        <v>1349</v>
      </c>
      <c r="D220" s="7" t="s">
        <v>1973</v>
      </c>
      <c r="E220" s="7" t="s">
        <v>1974</v>
      </c>
      <c r="F220" s="7" t="s">
        <v>613</v>
      </c>
      <c r="G220" s="7" t="s">
        <v>1975</v>
      </c>
      <c r="H220" s="7" t="s">
        <v>1976</v>
      </c>
      <c r="I220" s="8" t="n">
        <v>1.2</v>
      </c>
      <c r="J220" s="7" t="s">
        <v>347</v>
      </c>
      <c r="K220" s="7" t="s">
        <v>2458</v>
      </c>
      <c r="L220" s="7" t="s">
        <v>2459</v>
      </c>
      <c r="M220" s="7" t="s">
        <v>2433</v>
      </c>
      <c r="N220" s="7" t="s">
        <v>2434</v>
      </c>
      <c r="O220" s="7" t="s">
        <v>2460</v>
      </c>
      <c r="P220" s="7" t="s">
        <v>2461</v>
      </c>
      <c r="Q220" s="7" t="s">
        <v>2494</v>
      </c>
      <c r="R220" s="7"/>
      <c r="S220" s="7" t="s">
        <v>1271</v>
      </c>
      <c r="T220" s="7" t="s">
        <v>556</v>
      </c>
      <c r="U220" s="7" t="s">
        <v>2438</v>
      </c>
      <c r="V220" s="7" t="s">
        <v>2439</v>
      </c>
      <c r="W220" s="7" t="s">
        <v>2440</v>
      </c>
      <c r="X220" s="7" t="s">
        <v>2441</v>
      </c>
      <c r="Y220" s="7" t="s">
        <v>2484</v>
      </c>
      <c r="Z220" s="7" t="s">
        <v>2442</v>
      </c>
    </row>
    <row r="221" customFormat="false" ht="158.2" hidden="false" customHeight="false" outlineLevel="0" collapsed="false">
      <c r="A221" s="7" t="s">
        <v>1981</v>
      </c>
      <c r="B221" s="7" t="s">
        <v>97</v>
      </c>
      <c r="C221" s="7" t="s">
        <v>1349</v>
      </c>
      <c r="D221" s="7" t="s">
        <v>1978</v>
      </c>
      <c r="E221" s="7" t="s">
        <v>1979</v>
      </c>
      <c r="F221" s="7" t="s">
        <v>1279</v>
      </c>
      <c r="G221" s="7" t="s">
        <v>1980</v>
      </c>
      <c r="H221" s="7" t="s">
        <v>1281</v>
      </c>
      <c r="I221" s="8" t="n">
        <v>0.2</v>
      </c>
      <c r="J221" s="7" t="s">
        <v>347</v>
      </c>
      <c r="K221" s="7" t="s">
        <v>2458</v>
      </c>
      <c r="L221" s="7" t="s">
        <v>2459</v>
      </c>
      <c r="M221" s="7" t="s">
        <v>2433</v>
      </c>
      <c r="N221" s="7" t="s">
        <v>2434</v>
      </c>
      <c r="O221" s="7" t="s">
        <v>2460</v>
      </c>
      <c r="P221" s="7" t="s">
        <v>2461</v>
      </c>
      <c r="Q221" s="7" t="s">
        <v>2505</v>
      </c>
      <c r="R221" s="7"/>
      <c r="S221" s="7" t="s">
        <v>569</v>
      </c>
      <c r="T221" s="7" t="s">
        <v>568</v>
      </c>
      <c r="U221" s="7" t="s">
        <v>2438</v>
      </c>
      <c r="V221" s="7" t="s">
        <v>2439</v>
      </c>
      <c r="W221" s="7" t="s">
        <v>2440</v>
      </c>
      <c r="X221" s="7" t="s">
        <v>2441</v>
      </c>
      <c r="Y221" s="7" t="s">
        <v>2484</v>
      </c>
      <c r="Z221" s="7" t="s">
        <v>2442</v>
      </c>
    </row>
    <row r="222" customFormat="false" ht="158.2" hidden="false" customHeight="false" outlineLevel="0" collapsed="false">
      <c r="A222" s="7" t="s">
        <v>1987</v>
      </c>
      <c r="B222" s="7" t="s">
        <v>97</v>
      </c>
      <c r="C222" s="7" t="s">
        <v>1349</v>
      </c>
      <c r="D222" s="7" t="s">
        <v>1983</v>
      </c>
      <c r="E222" s="7" t="s">
        <v>1984</v>
      </c>
      <c r="F222" s="7" t="s">
        <v>1279</v>
      </c>
      <c r="G222" s="7" t="s">
        <v>1985</v>
      </c>
      <c r="H222" s="7" t="s">
        <v>1986</v>
      </c>
      <c r="I222" s="8" t="n">
        <v>0.9</v>
      </c>
      <c r="J222" s="7" t="s">
        <v>250</v>
      </c>
      <c r="K222" s="7" t="s">
        <v>2452</v>
      </c>
      <c r="L222" s="7" t="s">
        <v>2453</v>
      </c>
      <c r="M222" s="7" t="s">
        <v>2433</v>
      </c>
      <c r="N222" s="7" t="s">
        <v>2434</v>
      </c>
      <c r="O222" s="7" t="s">
        <v>2454</v>
      </c>
      <c r="P222" s="7" t="s">
        <v>2455</v>
      </c>
      <c r="Q222" s="7" t="s">
        <v>2505</v>
      </c>
      <c r="R222" s="7"/>
      <c r="S222" s="7" t="s">
        <v>557</v>
      </c>
      <c r="T222" s="7" t="s">
        <v>556</v>
      </c>
      <c r="U222" s="7" t="s">
        <v>2438</v>
      </c>
      <c r="V222" s="7" t="s">
        <v>2439</v>
      </c>
      <c r="W222" s="7" t="s">
        <v>2440</v>
      </c>
      <c r="X222" s="7" t="s">
        <v>2441</v>
      </c>
      <c r="Y222" s="7" t="s">
        <v>2484</v>
      </c>
      <c r="Z222" s="7" t="s">
        <v>2442</v>
      </c>
    </row>
    <row r="223" customFormat="false" ht="639.55" hidden="false" customHeight="false" outlineLevel="0" collapsed="false">
      <c r="A223" s="7" t="s">
        <v>1992</v>
      </c>
      <c r="B223" s="7" t="s">
        <v>97</v>
      </c>
      <c r="C223" s="7" t="s">
        <v>1349</v>
      </c>
      <c r="D223" s="7" t="s">
        <v>1989</v>
      </c>
      <c r="E223" s="7" t="s">
        <v>1990</v>
      </c>
      <c r="F223" s="7" t="s">
        <v>623</v>
      </c>
      <c r="G223" s="7" t="s">
        <v>1991</v>
      </c>
      <c r="H223" s="7" t="s">
        <v>1315</v>
      </c>
      <c r="I223" s="8" t="n">
        <v>0.5</v>
      </c>
      <c r="J223" s="7" t="s">
        <v>523</v>
      </c>
      <c r="K223" s="7" t="s">
        <v>2468</v>
      </c>
      <c r="L223" s="7" t="s">
        <v>2469</v>
      </c>
      <c r="M223" s="7" t="s">
        <v>2433</v>
      </c>
      <c r="N223" s="7" t="s">
        <v>2434</v>
      </c>
      <c r="O223" s="7" t="s">
        <v>2470</v>
      </c>
      <c r="P223" s="7" t="s">
        <v>2471</v>
      </c>
      <c r="Q223" s="7" t="s">
        <v>2498</v>
      </c>
      <c r="R223" s="7"/>
      <c r="S223" s="7" t="s">
        <v>569</v>
      </c>
      <c r="T223" s="7" t="s">
        <v>628</v>
      </c>
      <c r="U223" s="7" t="s">
        <v>2438</v>
      </c>
      <c r="V223" s="7" t="s">
        <v>2439</v>
      </c>
      <c r="W223" s="7" t="s">
        <v>2440</v>
      </c>
      <c r="X223" s="7" t="s">
        <v>2441</v>
      </c>
      <c r="Y223" s="7" t="s">
        <v>2484</v>
      </c>
      <c r="Z223" s="7" t="s">
        <v>2442</v>
      </c>
    </row>
    <row r="224" customFormat="false" ht="639.55" hidden="false" customHeight="false" outlineLevel="0" collapsed="false">
      <c r="A224" s="7" t="s">
        <v>1996</v>
      </c>
      <c r="B224" s="7" t="s">
        <v>97</v>
      </c>
      <c r="C224" s="7" t="s">
        <v>1349</v>
      </c>
      <c r="D224" s="7" t="s">
        <v>1993</v>
      </c>
      <c r="E224" s="7" t="s">
        <v>1994</v>
      </c>
      <c r="F224" s="7" t="s">
        <v>623</v>
      </c>
      <c r="G224" s="7" t="s">
        <v>1995</v>
      </c>
      <c r="H224" s="7" t="s">
        <v>1315</v>
      </c>
      <c r="I224" s="8" t="n">
        <v>0.4</v>
      </c>
      <c r="J224" s="7" t="s">
        <v>523</v>
      </c>
      <c r="K224" s="7" t="s">
        <v>2468</v>
      </c>
      <c r="L224" s="7" t="s">
        <v>2469</v>
      </c>
      <c r="M224" s="7" t="s">
        <v>2433</v>
      </c>
      <c r="N224" s="7" t="s">
        <v>2434</v>
      </c>
      <c r="O224" s="7" t="s">
        <v>2470</v>
      </c>
      <c r="P224" s="7" t="s">
        <v>2471</v>
      </c>
      <c r="Q224" s="7" t="s">
        <v>2498</v>
      </c>
      <c r="R224" s="7"/>
      <c r="S224" s="7" t="s">
        <v>569</v>
      </c>
      <c r="T224" s="7" t="s">
        <v>628</v>
      </c>
      <c r="U224" s="7" t="s">
        <v>2438</v>
      </c>
      <c r="V224" s="7" t="s">
        <v>2439</v>
      </c>
      <c r="W224" s="7" t="s">
        <v>2440</v>
      </c>
      <c r="X224" s="7" t="s">
        <v>2441</v>
      </c>
      <c r="Y224" s="7" t="s">
        <v>2484</v>
      </c>
      <c r="Z224" s="7" t="s">
        <v>2442</v>
      </c>
    </row>
    <row r="225" customFormat="false" ht="639.55" hidden="false" customHeight="false" outlineLevel="0" collapsed="false">
      <c r="A225" s="7" t="s">
        <v>2000</v>
      </c>
      <c r="B225" s="7" t="s">
        <v>97</v>
      </c>
      <c r="C225" s="7" t="s">
        <v>1349</v>
      </c>
      <c r="D225" s="7" t="s">
        <v>1997</v>
      </c>
      <c r="E225" s="7" t="s">
        <v>1998</v>
      </c>
      <c r="F225" s="7" t="s">
        <v>623</v>
      </c>
      <c r="G225" s="7" t="s">
        <v>1999</v>
      </c>
      <c r="H225" s="7" t="s">
        <v>1315</v>
      </c>
      <c r="I225" s="8" t="n">
        <v>0.2</v>
      </c>
      <c r="J225" s="7" t="s">
        <v>523</v>
      </c>
      <c r="K225" s="7" t="s">
        <v>2468</v>
      </c>
      <c r="L225" s="7" t="s">
        <v>2469</v>
      </c>
      <c r="M225" s="7" t="s">
        <v>2433</v>
      </c>
      <c r="N225" s="7" t="s">
        <v>2434</v>
      </c>
      <c r="O225" s="7" t="s">
        <v>2470</v>
      </c>
      <c r="P225" s="7" t="s">
        <v>2471</v>
      </c>
      <c r="Q225" s="7" t="s">
        <v>2498</v>
      </c>
      <c r="R225" s="7"/>
      <c r="S225" s="7" t="s">
        <v>569</v>
      </c>
      <c r="T225" s="7" t="s">
        <v>628</v>
      </c>
      <c r="U225" s="7" t="s">
        <v>2438</v>
      </c>
      <c r="V225" s="7" t="s">
        <v>2439</v>
      </c>
      <c r="W225" s="7" t="s">
        <v>2440</v>
      </c>
      <c r="X225" s="7" t="s">
        <v>2441</v>
      </c>
      <c r="Y225" s="7" t="s">
        <v>2484</v>
      </c>
      <c r="Z225" s="7" t="s">
        <v>2442</v>
      </c>
    </row>
    <row r="226" customFormat="false" ht="158.2" hidden="false" customHeight="false" outlineLevel="0" collapsed="false">
      <c r="A226" s="7" t="s">
        <v>2005</v>
      </c>
      <c r="B226" s="7" t="s">
        <v>97</v>
      </c>
      <c r="C226" s="7" t="s">
        <v>1349</v>
      </c>
      <c r="D226" s="7" t="s">
        <v>2001</v>
      </c>
      <c r="E226" s="7" t="s">
        <v>2002</v>
      </c>
      <c r="F226" s="7" t="s">
        <v>623</v>
      </c>
      <c r="G226" s="7" t="s">
        <v>2003</v>
      </c>
      <c r="H226" s="7" t="s">
        <v>2004</v>
      </c>
      <c r="I226" s="8" t="n">
        <v>0.1</v>
      </c>
      <c r="J226" s="7" t="s">
        <v>367</v>
      </c>
      <c r="K226" s="7" t="s">
        <v>2463</v>
      </c>
      <c r="L226" s="7" t="s">
        <v>2464</v>
      </c>
      <c r="M226" s="7" t="s">
        <v>2433</v>
      </c>
      <c r="N226" s="7" t="s">
        <v>2434</v>
      </c>
      <c r="O226" s="7" t="s">
        <v>2465</v>
      </c>
      <c r="P226" s="7" t="s">
        <v>2466</v>
      </c>
      <c r="Q226" s="7" t="s">
        <v>2498</v>
      </c>
      <c r="R226" s="7"/>
      <c r="S226" s="7" t="s">
        <v>569</v>
      </c>
      <c r="T226" s="7" t="s">
        <v>568</v>
      </c>
      <c r="U226" s="7" t="s">
        <v>2438</v>
      </c>
      <c r="V226" s="7" t="s">
        <v>2439</v>
      </c>
      <c r="W226" s="7" t="s">
        <v>2440</v>
      </c>
      <c r="X226" s="7" t="s">
        <v>2441</v>
      </c>
      <c r="Y226" s="7" t="s">
        <v>2484</v>
      </c>
      <c r="Z226" s="7" t="s">
        <v>2442</v>
      </c>
    </row>
    <row r="227" customFormat="false" ht="158.2" hidden="false" customHeight="false" outlineLevel="0" collapsed="false">
      <c r="A227" s="7" t="s">
        <v>2010</v>
      </c>
      <c r="B227" s="7" t="s">
        <v>97</v>
      </c>
      <c r="C227" s="7" t="s">
        <v>1349</v>
      </c>
      <c r="D227" s="7" t="s">
        <v>2006</v>
      </c>
      <c r="E227" s="7" t="s">
        <v>2007</v>
      </c>
      <c r="F227" s="7" t="s">
        <v>623</v>
      </c>
      <c r="G227" s="7" t="s">
        <v>2008</v>
      </c>
      <c r="H227" s="7" t="s">
        <v>2009</v>
      </c>
      <c r="I227" s="8" t="n">
        <v>0.1</v>
      </c>
      <c r="J227" s="7" t="s">
        <v>627</v>
      </c>
      <c r="K227" s="7" t="s">
        <v>2495</v>
      </c>
      <c r="L227" s="7" t="s">
        <v>2496</v>
      </c>
      <c r="M227" s="7" t="s">
        <v>2433</v>
      </c>
      <c r="N227" s="7" t="s">
        <v>2434</v>
      </c>
      <c r="O227" s="7" t="s">
        <v>2491</v>
      </c>
      <c r="P227" s="7" t="s">
        <v>2497</v>
      </c>
      <c r="Q227" s="7" t="s">
        <v>2498</v>
      </c>
      <c r="R227" s="7"/>
      <c r="S227" s="7" t="s">
        <v>569</v>
      </c>
      <c r="T227" s="7" t="s">
        <v>568</v>
      </c>
      <c r="U227" s="7" t="s">
        <v>2438</v>
      </c>
      <c r="V227" s="7" t="s">
        <v>2439</v>
      </c>
      <c r="W227" s="7" t="s">
        <v>2440</v>
      </c>
      <c r="X227" s="7" t="s">
        <v>2441</v>
      </c>
      <c r="Y227" s="7" t="s">
        <v>2484</v>
      </c>
      <c r="Z227" s="7" t="s">
        <v>2442</v>
      </c>
    </row>
  </sheetData>
  <autoFilter ref="A4:Z2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C8E"/>
    <pageSetUpPr fitToPage="false"/>
  </sheetPr>
  <dimension ref="A1:W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24"/>
    <col collapsed="false" customWidth="true" hidden="false" outlineLevel="0" max="4" min="4" style="0" width="9"/>
    <col collapsed="false" customWidth="true" hidden="false" outlineLevel="0" max="5" min="5" style="0" width="22"/>
    <col collapsed="false" customWidth="true" hidden="false" outlineLevel="0" max="6" min="6" style="0" width="28"/>
    <col collapsed="false" customWidth="true" hidden="false" outlineLevel="0" max="7" min="7" style="0" width="60"/>
    <col collapsed="false" customWidth="true" hidden="false" outlineLevel="0" max="8" min="8" style="0" width="50"/>
    <col collapsed="false" customWidth="true" hidden="false" outlineLevel="0" max="9" min="9" style="0" width="14"/>
    <col collapsed="false" customWidth="true" hidden="false" outlineLevel="0" max="10" min="10" style="0" width="22"/>
    <col collapsed="false" customWidth="true" hidden="false" outlineLevel="0" max="11" min="11" style="0" width="28"/>
    <col collapsed="false" customWidth="true" hidden="false" outlineLevel="0" max="13" min="12" style="0" width="40"/>
    <col collapsed="false" customWidth="true" hidden="false" outlineLevel="0" max="15" min="14" style="0" width="60"/>
    <col collapsed="false" customWidth="true" hidden="false" outlineLevel="0" max="17" min="16" style="0" width="30"/>
    <col collapsed="false" customWidth="true" hidden="false" outlineLevel="0" max="18" min="18" style="0" width="40"/>
    <col collapsed="false" customWidth="true" hidden="false" outlineLevel="0" max="19" min="19" style="0" width="36"/>
    <col collapsed="false" customWidth="true" hidden="false" outlineLevel="0" max="21" min="20" style="0" width="40"/>
    <col collapsed="false" customWidth="true" hidden="false" outlineLevel="0" max="22" min="22" style="0" width="22"/>
    <col collapsed="false" customWidth="true" hidden="false" outlineLevel="0" max="23" min="23" style="0" width="11"/>
  </cols>
  <sheetData>
    <row r="1" customFormat="false" ht="17.35" hidden="false" customHeight="false" outlineLevel="0" collapsed="false">
      <c r="A1" s="1" t="s">
        <v>2519</v>
      </c>
    </row>
    <row r="2" customFormat="false" ht="15" hidden="false" customHeight="false" outlineLevel="0" collapsed="false">
      <c r="A2" s="2" t="s">
        <v>2520</v>
      </c>
    </row>
    <row r="4" customFormat="false" ht="31.5" hidden="false" customHeight="true" outlineLevel="0" collapsed="false">
      <c r="A4" s="6" t="s">
        <v>2411</v>
      </c>
      <c r="B4" s="6" t="s">
        <v>2412</v>
      </c>
      <c r="C4" s="6" t="s">
        <v>2521</v>
      </c>
      <c r="D4" s="6" t="s">
        <v>2522</v>
      </c>
      <c r="E4" s="6" t="s">
        <v>2523</v>
      </c>
      <c r="F4" s="6" t="s">
        <v>2524</v>
      </c>
      <c r="G4" s="6" t="s">
        <v>2525</v>
      </c>
      <c r="H4" s="6" t="s">
        <v>2416</v>
      </c>
      <c r="I4" s="6" t="s">
        <v>2526</v>
      </c>
      <c r="J4" s="6" t="s">
        <v>2417</v>
      </c>
      <c r="K4" s="6" t="s">
        <v>2418</v>
      </c>
      <c r="L4" s="6" t="s">
        <v>2420</v>
      </c>
      <c r="M4" s="6" t="s">
        <v>2421</v>
      </c>
      <c r="N4" s="6" t="s">
        <v>2423</v>
      </c>
      <c r="O4" s="6" t="s">
        <v>2424</v>
      </c>
      <c r="P4" s="6" t="s">
        <v>2527</v>
      </c>
      <c r="Q4" s="6" t="s">
        <v>2528</v>
      </c>
      <c r="R4" s="6" t="s">
        <v>2529</v>
      </c>
      <c r="S4" s="6" t="s">
        <v>2425</v>
      </c>
      <c r="T4" s="6" t="s">
        <v>2426</v>
      </c>
      <c r="U4" s="6" t="s">
        <v>2427</v>
      </c>
      <c r="V4" s="6" t="s">
        <v>2428</v>
      </c>
      <c r="W4" s="6" t="s">
        <v>2429</v>
      </c>
    </row>
    <row r="5" customFormat="false" ht="158.2" hidden="false" customHeight="false" outlineLevel="0" collapsed="false">
      <c r="A5" s="7" t="s">
        <v>2042</v>
      </c>
      <c r="B5" s="7" t="s">
        <v>2530</v>
      </c>
      <c r="C5" s="7" t="s">
        <v>2032</v>
      </c>
      <c r="D5" s="7" t="s">
        <v>181</v>
      </c>
      <c r="E5" s="7" t="s">
        <v>2531</v>
      </c>
      <c r="F5" s="7" t="s">
        <v>2033</v>
      </c>
      <c r="G5" s="7" t="s">
        <v>2034</v>
      </c>
      <c r="H5" s="7" t="s">
        <v>2035</v>
      </c>
      <c r="I5" s="7" t="s">
        <v>2036</v>
      </c>
      <c r="J5" s="7" t="s">
        <v>2039</v>
      </c>
      <c r="K5" s="7" t="s">
        <v>2532</v>
      </c>
      <c r="L5" s="7" t="s">
        <v>2433</v>
      </c>
      <c r="M5" s="7" t="s">
        <v>2434</v>
      </c>
      <c r="N5" s="7" t="s">
        <v>2533</v>
      </c>
      <c r="O5" s="7" t="s">
        <v>2534</v>
      </c>
      <c r="P5" s="7"/>
      <c r="Q5" s="7" t="s">
        <v>2038</v>
      </c>
      <c r="R5" s="7" t="s">
        <v>2037</v>
      </c>
      <c r="S5" s="7" t="s">
        <v>2438</v>
      </c>
      <c r="T5" s="7" t="s">
        <v>2439</v>
      </c>
      <c r="U5" s="7" t="s">
        <v>2440</v>
      </c>
      <c r="V5" s="7" t="s">
        <v>2441</v>
      </c>
      <c r="W5" s="7" t="s">
        <v>2442</v>
      </c>
    </row>
    <row r="6" customFormat="false" ht="158.2" hidden="false" customHeight="false" outlineLevel="0" collapsed="false">
      <c r="A6" s="7" t="s">
        <v>2050</v>
      </c>
      <c r="B6" s="7" t="s">
        <v>2530</v>
      </c>
      <c r="C6" s="7" t="s">
        <v>2032</v>
      </c>
      <c r="D6" s="7" t="s">
        <v>2043</v>
      </c>
      <c r="E6" s="7" t="s">
        <v>2535</v>
      </c>
      <c r="F6" s="7" t="s">
        <v>2044</v>
      </c>
      <c r="G6" s="7" t="s">
        <v>2045</v>
      </c>
      <c r="H6" s="7" t="s">
        <v>2046</v>
      </c>
      <c r="I6" s="7" t="s">
        <v>2036</v>
      </c>
      <c r="J6" s="7" t="s">
        <v>2039</v>
      </c>
      <c r="K6" s="7" t="s">
        <v>2532</v>
      </c>
      <c r="L6" s="7" t="s">
        <v>2433</v>
      </c>
      <c r="M6" s="7" t="s">
        <v>2434</v>
      </c>
      <c r="N6" s="7" t="s">
        <v>2533</v>
      </c>
      <c r="O6" s="7" t="s">
        <v>2534</v>
      </c>
      <c r="P6" s="7"/>
      <c r="Q6" s="7" t="s">
        <v>2048</v>
      </c>
      <c r="R6" s="7" t="s">
        <v>2047</v>
      </c>
      <c r="S6" s="7" t="s">
        <v>2438</v>
      </c>
      <c r="T6" s="7" t="s">
        <v>2439</v>
      </c>
      <c r="U6" s="7" t="s">
        <v>2440</v>
      </c>
      <c r="V6" s="7" t="s">
        <v>2441</v>
      </c>
      <c r="W6" s="7" t="s">
        <v>2442</v>
      </c>
    </row>
    <row r="7" customFormat="false" ht="158.2" hidden="false" customHeight="false" outlineLevel="0" collapsed="false">
      <c r="A7" s="7" t="s">
        <v>2058</v>
      </c>
      <c r="B7" s="7" t="s">
        <v>2530</v>
      </c>
      <c r="C7" s="7" t="s">
        <v>2032</v>
      </c>
      <c r="D7" s="7" t="s">
        <v>236</v>
      </c>
      <c r="E7" s="7" t="s">
        <v>2536</v>
      </c>
      <c r="F7" s="7" t="s">
        <v>2051</v>
      </c>
      <c r="G7" s="7" t="s">
        <v>2053</v>
      </c>
      <c r="H7" s="7" t="s">
        <v>2054</v>
      </c>
      <c r="I7" s="7" t="s">
        <v>2036</v>
      </c>
      <c r="J7" s="7" t="s">
        <v>2039</v>
      </c>
      <c r="K7" s="7" t="s">
        <v>2532</v>
      </c>
      <c r="L7" s="7" t="s">
        <v>2433</v>
      </c>
      <c r="M7" s="7" t="s">
        <v>2434</v>
      </c>
      <c r="N7" s="7" t="s">
        <v>2533</v>
      </c>
      <c r="O7" s="7" t="s">
        <v>2534</v>
      </c>
      <c r="P7" s="7"/>
      <c r="Q7" s="7" t="s">
        <v>2056</v>
      </c>
      <c r="R7" s="7" t="s">
        <v>2055</v>
      </c>
      <c r="S7" s="7" t="s">
        <v>2438</v>
      </c>
      <c r="T7" s="7" t="s">
        <v>2439</v>
      </c>
      <c r="U7" s="7" t="s">
        <v>2440</v>
      </c>
      <c r="V7" s="7" t="s">
        <v>2441</v>
      </c>
      <c r="W7" s="7" t="s">
        <v>2442</v>
      </c>
    </row>
    <row r="8" customFormat="false" ht="158.2" hidden="false" customHeight="false" outlineLevel="0" collapsed="false">
      <c r="A8" s="7" t="s">
        <v>2068</v>
      </c>
      <c r="B8" s="7" t="s">
        <v>2530</v>
      </c>
      <c r="C8" s="7" t="s">
        <v>2032</v>
      </c>
      <c r="D8" s="7" t="s">
        <v>353</v>
      </c>
      <c r="E8" s="7" t="s">
        <v>2537</v>
      </c>
      <c r="F8" s="7" t="s">
        <v>2059</v>
      </c>
      <c r="G8" s="7" t="s">
        <v>2061</v>
      </c>
      <c r="H8" s="7" t="s">
        <v>2062</v>
      </c>
      <c r="I8" s="7" t="s">
        <v>2063</v>
      </c>
      <c r="J8" s="7" t="s">
        <v>2039</v>
      </c>
      <c r="K8" s="7" t="s">
        <v>2532</v>
      </c>
      <c r="L8" s="7" t="s">
        <v>2433</v>
      </c>
      <c r="M8" s="7" t="s">
        <v>2434</v>
      </c>
      <c r="N8" s="7" t="s">
        <v>2533</v>
      </c>
      <c r="O8" s="7" t="s">
        <v>2534</v>
      </c>
      <c r="P8" s="7" t="s">
        <v>2065</v>
      </c>
      <c r="Q8" s="7" t="s">
        <v>2066</v>
      </c>
      <c r="R8" s="7" t="s">
        <v>2064</v>
      </c>
      <c r="S8" s="7" t="s">
        <v>2438</v>
      </c>
      <c r="T8" s="7" t="s">
        <v>2439</v>
      </c>
      <c r="U8" s="7" t="s">
        <v>2440</v>
      </c>
      <c r="V8" s="7" t="s">
        <v>2441</v>
      </c>
      <c r="W8" s="7" t="s">
        <v>2442</v>
      </c>
    </row>
    <row r="9" customFormat="false" ht="158.2" hidden="false" customHeight="false" outlineLevel="0" collapsed="false">
      <c r="A9" s="7" t="s">
        <v>2076</v>
      </c>
      <c r="B9" s="7" t="s">
        <v>2530</v>
      </c>
      <c r="C9" s="7" t="s">
        <v>2032</v>
      </c>
      <c r="D9" s="7" t="s">
        <v>290</v>
      </c>
      <c r="E9" s="7" t="s">
        <v>2538</v>
      </c>
      <c r="F9" s="7" t="s">
        <v>2069</v>
      </c>
      <c r="G9" s="7" t="s">
        <v>2071</v>
      </c>
      <c r="H9" s="7" t="s">
        <v>2072</v>
      </c>
      <c r="I9" s="7" t="s">
        <v>2036</v>
      </c>
      <c r="J9" s="7" t="s">
        <v>347</v>
      </c>
      <c r="K9" s="7" t="s">
        <v>2458</v>
      </c>
      <c r="L9" s="7" t="s">
        <v>2433</v>
      </c>
      <c r="M9" s="7" t="s">
        <v>2434</v>
      </c>
      <c r="N9" s="7" t="s">
        <v>2461</v>
      </c>
      <c r="O9" s="7" t="s">
        <v>2534</v>
      </c>
      <c r="P9" s="7"/>
      <c r="Q9" s="7" t="s">
        <v>2074</v>
      </c>
      <c r="R9" s="7" t="s">
        <v>2073</v>
      </c>
      <c r="S9" s="7" t="s">
        <v>2438</v>
      </c>
      <c r="T9" s="7" t="s">
        <v>2439</v>
      </c>
      <c r="U9" s="7" t="s">
        <v>2440</v>
      </c>
      <c r="V9" s="7" t="s">
        <v>2441</v>
      </c>
      <c r="W9" s="7" t="s">
        <v>2442</v>
      </c>
    </row>
    <row r="10" customFormat="false" ht="158.2" hidden="false" customHeight="false" outlineLevel="0" collapsed="false">
      <c r="A10" s="7" t="s">
        <v>2087</v>
      </c>
      <c r="B10" s="7" t="s">
        <v>2530</v>
      </c>
      <c r="C10" s="7" t="s">
        <v>2078</v>
      </c>
      <c r="D10" s="7" t="s">
        <v>2077</v>
      </c>
      <c r="E10" s="7" t="s">
        <v>2539</v>
      </c>
      <c r="F10" s="7" t="s">
        <v>2079</v>
      </c>
      <c r="G10" s="7" t="s">
        <v>2082</v>
      </c>
      <c r="H10" s="7" t="s">
        <v>2083</v>
      </c>
      <c r="I10" s="7" t="s">
        <v>2063</v>
      </c>
      <c r="J10" s="7" t="s">
        <v>250</v>
      </c>
      <c r="K10" s="7" t="s">
        <v>2452</v>
      </c>
      <c r="L10" s="7" t="s">
        <v>2433</v>
      </c>
      <c r="M10" s="7" t="s">
        <v>2434</v>
      </c>
      <c r="N10" s="7" t="s">
        <v>2455</v>
      </c>
      <c r="O10" s="7" t="s">
        <v>2534</v>
      </c>
      <c r="P10" s="7" t="s">
        <v>2085</v>
      </c>
      <c r="Q10" s="7"/>
      <c r="R10" s="7" t="s">
        <v>2084</v>
      </c>
      <c r="S10" s="7" t="s">
        <v>2438</v>
      </c>
      <c r="T10" s="7" t="s">
        <v>2439</v>
      </c>
      <c r="U10" s="7" t="s">
        <v>2440</v>
      </c>
      <c r="V10" s="7" t="s">
        <v>2441</v>
      </c>
      <c r="W10" s="7" t="s">
        <v>2442</v>
      </c>
    </row>
    <row r="11" customFormat="false" ht="158.2" hidden="false" customHeight="false" outlineLevel="0" collapsed="false">
      <c r="A11" s="7" t="s">
        <v>2096</v>
      </c>
      <c r="B11" s="7" t="s">
        <v>2530</v>
      </c>
      <c r="C11" s="7" t="s">
        <v>2078</v>
      </c>
      <c r="D11" s="7" t="s">
        <v>2088</v>
      </c>
      <c r="E11" s="7" t="s">
        <v>2540</v>
      </c>
      <c r="F11" s="7" t="s">
        <v>2089</v>
      </c>
      <c r="G11" s="7" t="s">
        <v>2091</v>
      </c>
      <c r="H11" s="7" t="s">
        <v>2092</v>
      </c>
      <c r="I11" s="7" t="s">
        <v>2063</v>
      </c>
      <c r="J11" s="7" t="s">
        <v>250</v>
      </c>
      <c r="K11" s="7" t="s">
        <v>2452</v>
      </c>
      <c r="L11" s="7" t="s">
        <v>2433</v>
      </c>
      <c r="M11" s="7" t="s">
        <v>2434</v>
      </c>
      <c r="N11" s="7" t="s">
        <v>2455</v>
      </c>
      <c r="O11" s="7" t="s">
        <v>2534</v>
      </c>
      <c r="P11" s="7" t="s">
        <v>2094</v>
      </c>
      <c r="Q11" s="7"/>
      <c r="R11" s="7" t="s">
        <v>2093</v>
      </c>
      <c r="S11" s="7" t="s">
        <v>2438</v>
      </c>
      <c r="T11" s="7" t="s">
        <v>2439</v>
      </c>
      <c r="U11" s="7" t="s">
        <v>2440</v>
      </c>
      <c r="V11" s="7" t="s">
        <v>2441</v>
      </c>
      <c r="W11" s="7" t="s">
        <v>2442</v>
      </c>
    </row>
    <row r="12" customFormat="false" ht="158.2" hidden="false" customHeight="false" outlineLevel="0" collapsed="false">
      <c r="A12" s="7" t="s">
        <v>2104</v>
      </c>
      <c r="B12" s="7" t="s">
        <v>2530</v>
      </c>
      <c r="C12" s="7" t="s">
        <v>2078</v>
      </c>
      <c r="D12" s="7" t="s">
        <v>1113</v>
      </c>
      <c r="E12" s="7" t="s">
        <v>2541</v>
      </c>
      <c r="F12" s="7" t="s">
        <v>2097</v>
      </c>
      <c r="G12" s="7" t="s">
        <v>2099</v>
      </c>
      <c r="H12" s="7" t="s">
        <v>2100</v>
      </c>
      <c r="I12" s="7" t="s">
        <v>2063</v>
      </c>
      <c r="J12" s="7" t="s">
        <v>250</v>
      </c>
      <c r="K12" s="7" t="s">
        <v>2452</v>
      </c>
      <c r="L12" s="7" t="s">
        <v>2433</v>
      </c>
      <c r="M12" s="7" t="s">
        <v>2434</v>
      </c>
      <c r="N12" s="7" t="s">
        <v>2455</v>
      </c>
      <c r="O12" s="7" t="s">
        <v>2534</v>
      </c>
      <c r="P12" s="7" t="s">
        <v>2102</v>
      </c>
      <c r="Q12" s="7"/>
      <c r="R12" s="7" t="s">
        <v>2101</v>
      </c>
      <c r="S12" s="7" t="s">
        <v>2438</v>
      </c>
      <c r="T12" s="7" t="s">
        <v>2439</v>
      </c>
      <c r="U12" s="7" t="s">
        <v>2440</v>
      </c>
      <c r="V12" s="7" t="s">
        <v>2441</v>
      </c>
      <c r="W12" s="7" t="s">
        <v>2442</v>
      </c>
    </row>
    <row r="13" customFormat="false" ht="158.2" hidden="false" customHeight="false" outlineLevel="0" collapsed="false">
      <c r="A13" s="7" t="s">
        <v>2113</v>
      </c>
      <c r="B13" s="7" t="s">
        <v>2530</v>
      </c>
      <c r="C13" s="7" t="s">
        <v>2078</v>
      </c>
      <c r="D13" s="7" t="s">
        <v>2105</v>
      </c>
      <c r="E13" s="7" t="s">
        <v>2542</v>
      </c>
      <c r="F13" s="7" t="s">
        <v>2106</v>
      </c>
      <c r="G13" s="7" t="s">
        <v>2108</v>
      </c>
      <c r="H13" s="7" t="s">
        <v>2109</v>
      </c>
      <c r="I13" s="7" t="s">
        <v>2063</v>
      </c>
      <c r="J13" s="7" t="s">
        <v>627</v>
      </c>
      <c r="K13" s="7" t="s">
        <v>2495</v>
      </c>
      <c r="L13" s="7" t="s">
        <v>2433</v>
      </c>
      <c r="M13" s="7" t="s">
        <v>2434</v>
      </c>
      <c r="N13" s="7" t="s">
        <v>2497</v>
      </c>
      <c r="O13" s="7" t="s">
        <v>2534</v>
      </c>
      <c r="P13" s="7" t="s">
        <v>2111</v>
      </c>
      <c r="Q13" s="7"/>
      <c r="R13" s="7" t="s">
        <v>2110</v>
      </c>
      <c r="S13" s="7" t="s">
        <v>2438</v>
      </c>
      <c r="T13" s="7" t="s">
        <v>2439</v>
      </c>
      <c r="U13" s="7" t="s">
        <v>2440</v>
      </c>
      <c r="V13" s="7" t="s">
        <v>2441</v>
      </c>
      <c r="W13" s="7" t="s">
        <v>2442</v>
      </c>
    </row>
    <row r="14" customFormat="false" ht="158.2" hidden="false" customHeight="false" outlineLevel="0" collapsed="false">
      <c r="A14" s="7" t="s">
        <v>2122</v>
      </c>
      <c r="B14" s="7" t="s">
        <v>2530</v>
      </c>
      <c r="C14" s="7" t="s">
        <v>2115</v>
      </c>
      <c r="D14" s="7" t="s">
        <v>2114</v>
      </c>
      <c r="E14" s="7" t="s">
        <v>2543</v>
      </c>
      <c r="F14" s="7" t="s">
        <v>2116</v>
      </c>
      <c r="G14" s="7" t="s">
        <v>2117</v>
      </c>
      <c r="H14" s="7" t="s">
        <v>2118</v>
      </c>
      <c r="I14" s="7" t="s">
        <v>2063</v>
      </c>
      <c r="J14" s="7" t="s">
        <v>367</v>
      </c>
      <c r="K14" s="7" t="s">
        <v>2463</v>
      </c>
      <c r="L14" s="7" t="s">
        <v>2433</v>
      </c>
      <c r="M14" s="7" t="s">
        <v>2434</v>
      </c>
      <c r="N14" s="7" t="s">
        <v>2466</v>
      </c>
      <c r="O14" s="7" t="s">
        <v>2534</v>
      </c>
      <c r="P14" s="7" t="s">
        <v>2120</v>
      </c>
      <c r="Q14" s="7"/>
      <c r="R14" s="7" t="s">
        <v>2119</v>
      </c>
      <c r="S14" s="7" t="s">
        <v>2438</v>
      </c>
      <c r="T14" s="7" t="s">
        <v>2439</v>
      </c>
      <c r="U14" s="7" t="s">
        <v>2440</v>
      </c>
      <c r="V14" s="7" t="s">
        <v>2441</v>
      </c>
      <c r="W14" s="7" t="s">
        <v>2442</v>
      </c>
    </row>
    <row r="15" customFormat="false" ht="158.2" hidden="false" customHeight="false" outlineLevel="0" collapsed="false">
      <c r="A15" s="7" t="s">
        <v>2129</v>
      </c>
      <c r="B15" s="7" t="s">
        <v>2530</v>
      </c>
      <c r="C15" s="7" t="s">
        <v>2115</v>
      </c>
      <c r="D15" s="7" t="s">
        <v>2123</v>
      </c>
      <c r="E15" s="7" t="s">
        <v>2544</v>
      </c>
      <c r="F15" s="7" t="s">
        <v>2124</v>
      </c>
      <c r="G15" s="7" t="s">
        <v>2125</v>
      </c>
      <c r="H15" s="7" t="s">
        <v>2126</v>
      </c>
      <c r="I15" s="7" t="s">
        <v>2063</v>
      </c>
      <c r="J15" s="7" t="s">
        <v>250</v>
      </c>
      <c r="K15" s="7" t="s">
        <v>2452</v>
      </c>
      <c r="L15" s="7" t="s">
        <v>2433</v>
      </c>
      <c r="M15" s="7" t="s">
        <v>2434</v>
      </c>
      <c r="N15" s="7" t="s">
        <v>2455</v>
      </c>
      <c r="O15" s="7" t="s">
        <v>2534</v>
      </c>
      <c r="P15" s="7" t="s">
        <v>923</v>
      </c>
      <c r="Q15" s="7"/>
      <c r="R15" s="7" t="s">
        <v>2127</v>
      </c>
      <c r="S15" s="7" t="s">
        <v>2438</v>
      </c>
      <c r="T15" s="7" t="s">
        <v>2439</v>
      </c>
      <c r="U15" s="7" t="s">
        <v>2440</v>
      </c>
      <c r="V15" s="7" t="s">
        <v>2441</v>
      </c>
      <c r="W15" s="7" t="s">
        <v>2442</v>
      </c>
    </row>
    <row r="16" customFormat="false" ht="158.2" hidden="false" customHeight="false" outlineLevel="0" collapsed="false">
      <c r="A16" s="7" t="s">
        <v>2136</v>
      </c>
      <c r="B16" s="7" t="s">
        <v>2530</v>
      </c>
      <c r="C16" s="7" t="s">
        <v>2115</v>
      </c>
      <c r="D16" s="7" t="s">
        <v>2130</v>
      </c>
      <c r="E16" s="7" t="s">
        <v>2545</v>
      </c>
      <c r="F16" s="7" t="s">
        <v>2131</v>
      </c>
      <c r="G16" s="7" t="s">
        <v>2132</v>
      </c>
      <c r="H16" s="7" t="s">
        <v>2133</v>
      </c>
      <c r="I16" s="7" t="s">
        <v>2036</v>
      </c>
      <c r="J16" s="7" t="s">
        <v>2039</v>
      </c>
      <c r="K16" s="7" t="s">
        <v>2532</v>
      </c>
      <c r="L16" s="7" t="s">
        <v>2433</v>
      </c>
      <c r="M16" s="7" t="s">
        <v>2434</v>
      </c>
      <c r="N16" s="7" t="s">
        <v>2533</v>
      </c>
      <c r="O16" s="7" t="s">
        <v>2534</v>
      </c>
      <c r="P16" s="7"/>
      <c r="Q16" s="7"/>
      <c r="R16" s="7" t="s">
        <v>2134</v>
      </c>
      <c r="S16" s="7" t="s">
        <v>2438</v>
      </c>
      <c r="T16" s="7" t="s">
        <v>2439</v>
      </c>
      <c r="U16" s="7" t="s">
        <v>2440</v>
      </c>
      <c r="V16" s="7" t="s">
        <v>2441</v>
      </c>
      <c r="W16" s="7" t="s">
        <v>2442</v>
      </c>
    </row>
    <row r="17" customFormat="false" ht="158.2" hidden="false" customHeight="false" outlineLevel="0" collapsed="false">
      <c r="A17" s="7" t="s">
        <v>2144</v>
      </c>
      <c r="B17" s="7" t="s">
        <v>2530</v>
      </c>
      <c r="C17" s="7" t="s">
        <v>2137</v>
      </c>
      <c r="D17" s="7" t="s">
        <v>1370</v>
      </c>
      <c r="E17" s="7" t="s">
        <v>2546</v>
      </c>
      <c r="F17" s="7" t="s">
        <v>2138</v>
      </c>
      <c r="G17" s="7" t="s">
        <v>2139</v>
      </c>
      <c r="H17" s="7" t="s">
        <v>2140</v>
      </c>
      <c r="I17" s="7" t="s">
        <v>2063</v>
      </c>
      <c r="J17" s="7" t="s">
        <v>598</v>
      </c>
      <c r="K17" s="7" t="s">
        <v>2489</v>
      </c>
      <c r="L17" s="7" t="s">
        <v>2433</v>
      </c>
      <c r="M17" s="7" t="s">
        <v>2434</v>
      </c>
      <c r="N17" s="7" t="s">
        <v>2492</v>
      </c>
      <c r="O17" s="7" t="s">
        <v>2534</v>
      </c>
      <c r="P17" s="7" t="s">
        <v>2142</v>
      </c>
      <c r="Q17" s="7"/>
      <c r="R17" s="7" t="s">
        <v>2141</v>
      </c>
      <c r="S17" s="7" t="s">
        <v>2438</v>
      </c>
      <c r="T17" s="7" t="s">
        <v>2439</v>
      </c>
      <c r="U17" s="7" t="s">
        <v>2440</v>
      </c>
      <c r="V17" s="7" t="s">
        <v>2441</v>
      </c>
      <c r="W17" s="7" t="s">
        <v>2442</v>
      </c>
    </row>
    <row r="18" customFormat="false" ht="158.2" hidden="false" customHeight="false" outlineLevel="0" collapsed="false">
      <c r="A18" s="7" t="s">
        <v>2152</v>
      </c>
      <c r="B18" s="7" t="s">
        <v>2530</v>
      </c>
      <c r="C18" s="7" t="s">
        <v>2137</v>
      </c>
      <c r="D18" s="7" t="s">
        <v>2145</v>
      </c>
      <c r="E18" s="7" t="s">
        <v>2547</v>
      </c>
      <c r="F18" s="7" t="s">
        <v>2146</v>
      </c>
      <c r="G18" s="7" t="s">
        <v>2147</v>
      </c>
      <c r="H18" s="7" t="s">
        <v>2148</v>
      </c>
      <c r="I18" s="7" t="s">
        <v>2063</v>
      </c>
      <c r="J18" s="7" t="s">
        <v>627</v>
      </c>
      <c r="K18" s="7" t="s">
        <v>2495</v>
      </c>
      <c r="L18" s="7" t="s">
        <v>2433</v>
      </c>
      <c r="M18" s="7" t="s">
        <v>2434</v>
      </c>
      <c r="N18" s="7" t="s">
        <v>2497</v>
      </c>
      <c r="O18" s="7" t="s">
        <v>2534</v>
      </c>
      <c r="P18" s="7" t="s">
        <v>2150</v>
      </c>
      <c r="Q18" s="7"/>
      <c r="R18" s="7" t="s">
        <v>2149</v>
      </c>
      <c r="S18" s="7" t="s">
        <v>2438</v>
      </c>
      <c r="T18" s="7" t="s">
        <v>2439</v>
      </c>
      <c r="U18" s="7" t="s">
        <v>2440</v>
      </c>
      <c r="V18" s="7" t="s">
        <v>2441</v>
      </c>
      <c r="W18" s="7" t="s">
        <v>2442</v>
      </c>
    </row>
    <row r="19" customFormat="false" ht="158.2" hidden="false" customHeight="false" outlineLevel="0" collapsed="false">
      <c r="A19" s="7" t="s">
        <v>2160</v>
      </c>
      <c r="B19" s="7" t="s">
        <v>2530</v>
      </c>
      <c r="C19" s="7" t="s">
        <v>2137</v>
      </c>
      <c r="D19" s="7" t="s">
        <v>2153</v>
      </c>
      <c r="E19" s="7" t="s">
        <v>2548</v>
      </c>
      <c r="F19" s="7" t="s">
        <v>2154</v>
      </c>
      <c r="G19" s="7" t="s">
        <v>2155</v>
      </c>
      <c r="H19" s="7" t="s">
        <v>2156</v>
      </c>
      <c r="I19" s="7" t="s">
        <v>2063</v>
      </c>
      <c r="J19" s="7" t="s">
        <v>347</v>
      </c>
      <c r="K19" s="7" t="s">
        <v>2458</v>
      </c>
      <c r="L19" s="7" t="s">
        <v>2433</v>
      </c>
      <c r="M19" s="7" t="s">
        <v>2434</v>
      </c>
      <c r="N19" s="7" t="s">
        <v>2461</v>
      </c>
      <c r="O19" s="7" t="s">
        <v>2534</v>
      </c>
      <c r="P19" s="7" t="s">
        <v>2158</v>
      </c>
      <c r="Q19" s="7"/>
      <c r="R19" s="7" t="s">
        <v>2157</v>
      </c>
      <c r="S19" s="7" t="s">
        <v>2438</v>
      </c>
      <c r="T19" s="7" t="s">
        <v>2439</v>
      </c>
      <c r="U19" s="7" t="s">
        <v>2440</v>
      </c>
      <c r="V19" s="7" t="s">
        <v>2441</v>
      </c>
      <c r="W19" s="7" t="s">
        <v>2442</v>
      </c>
    </row>
    <row r="20" customFormat="false" ht="158.2" hidden="false" customHeight="false" outlineLevel="0" collapsed="false">
      <c r="A20" s="7" t="s">
        <v>2168</v>
      </c>
      <c r="B20" s="7" t="s">
        <v>2530</v>
      </c>
      <c r="C20" s="7" t="s">
        <v>2137</v>
      </c>
      <c r="D20" s="7" t="s">
        <v>2161</v>
      </c>
      <c r="E20" s="7" t="s">
        <v>2547</v>
      </c>
      <c r="F20" s="7" t="s">
        <v>2162</v>
      </c>
      <c r="G20" s="7" t="s">
        <v>2163</v>
      </c>
      <c r="H20" s="7" t="s">
        <v>2164</v>
      </c>
      <c r="I20" s="7" t="s">
        <v>2063</v>
      </c>
      <c r="J20" s="7" t="s">
        <v>347</v>
      </c>
      <c r="K20" s="7" t="s">
        <v>2458</v>
      </c>
      <c r="L20" s="7" t="s">
        <v>2433</v>
      </c>
      <c r="M20" s="7" t="s">
        <v>2434</v>
      </c>
      <c r="N20" s="7" t="s">
        <v>2461</v>
      </c>
      <c r="O20" s="7" t="s">
        <v>2534</v>
      </c>
      <c r="P20" s="7" t="s">
        <v>2166</v>
      </c>
      <c r="Q20" s="7"/>
      <c r="R20" s="7" t="s">
        <v>2165</v>
      </c>
      <c r="S20" s="7" t="s">
        <v>2438</v>
      </c>
      <c r="T20" s="7" t="s">
        <v>2439</v>
      </c>
      <c r="U20" s="7" t="s">
        <v>2440</v>
      </c>
      <c r="V20" s="7" t="s">
        <v>2441</v>
      </c>
      <c r="W20" s="7" t="s">
        <v>2442</v>
      </c>
    </row>
    <row r="21" customFormat="false" ht="158.2" hidden="false" customHeight="false" outlineLevel="0" collapsed="false">
      <c r="A21" s="7" t="s">
        <v>2175</v>
      </c>
      <c r="B21" s="7" t="s">
        <v>2530</v>
      </c>
      <c r="C21" s="7" t="s">
        <v>2137</v>
      </c>
      <c r="D21" s="7" t="s">
        <v>2169</v>
      </c>
      <c r="E21" s="7" t="s">
        <v>2548</v>
      </c>
      <c r="F21" s="7" t="s">
        <v>2170</v>
      </c>
      <c r="G21" s="7" t="s">
        <v>2171</v>
      </c>
      <c r="H21" s="7" t="s">
        <v>2172</v>
      </c>
      <c r="I21" s="7" t="s">
        <v>2063</v>
      </c>
      <c r="J21" s="7" t="s">
        <v>250</v>
      </c>
      <c r="K21" s="7" t="s">
        <v>2452</v>
      </c>
      <c r="L21" s="7" t="s">
        <v>2433</v>
      </c>
      <c r="M21" s="7" t="s">
        <v>2434</v>
      </c>
      <c r="N21" s="7" t="s">
        <v>2455</v>
      </c>
      <c r="O21" s="7" t="s">
        <v>2534</v>
      </c>
      <c r="P21" s="7" t="s">
        <v>689</v>
      </c>
      <c r="Q21" s="7"/>
      <c r="R21" s="7" t="s">
        <v>2173</v>
      </c>
      <c r="S21" s="7" t="s">
        <v>2438</v>
      </c>
      <c r="T21" s="7" t="s">
        <v>2439</v>
      </c>
      <c r="U21" s="7" t="s">
        <v>2440</v>
      </c>
      <c r="V21" s="7" t="s">
        <v>2441</v>
      </c>
      <c r="W21" s="7" t="s">
        <v>2442</v>
      </c>
    </row>
    <row r="22" customFormat="false" ht="158.2" hidden="false" customHeight="false" outlineLevel="0" collapsed="false">
      <c r="A22" s="7" t="s">
        <v>2184</v>
      </c>
      <c r="B22" s="7" t="s">
        <v>2530</v>
      </c>
      <c r="C22" s="7" t="s">
        <v>2137</v>
      </c>
      <c r="D22" s="7" t="s">
        <v>2176</v>
      </c>
      <c r="E22" s="7" t="s">
        <v>2549</v>
      </c>
      <c r="F22" s="7" t="s">
        <v>2177</v>
      </c>
      <c r="G22" s="7" t="s">
        <v>2179</v>
      </c>
      <c r="H22" s="7" t="s">
        <v>2180</v>
      </c>
      <c r="I22" s="7" t="s">
        <v>2036</v>
      </c>
      <c r="J22" s="7" t="s">
        <v>2039</v>
      </c>
      <c r="K22" s="7" t="s">
        <v>2532</v>
      </c>
      <c r="L22" s="7" t="s">
        <v>2433</v>
      </c>
      <c r="M22" s="7" t="s">
        <v>2434</v>
      </c>
      <c r="N22" s="7" t="s">
        <v>2533</v>
      </c>
      <c r="O22" s="7" t="s">
        <v>2534</v>
      </c>
      <c r="P22" s="7"/>
      <c r="Q22" s="7"/>
      <c r="R22" s="7" t="s">
        <v>2181</v>
      </c>
      <c r="S22" s="7" t="s">
        <v>2438</v>
      </c>
      <c r="T22" s="7" t="s">
        <v>2439</v>
      </c>
      <c r="U22" s="7" t="s">
        <v>2440</v>
      </c>
      <c r="V22" s="7" t="s">
        <v>2441</v>
      </c>
      <c r="W22" s="7" t="s">
        <v>2442</v>
      </c>
    </row>
    <row r="23" customFormat="false" ht="158.2" hidden="false" customHeight="false" outlineLevel="0" collapsed="false">
      <c r="A23" s="7" t="s">
        <v>2193</v>
      </c>
      <c r="B23" s="7" t="s">
        <v>2530</v>
      </c>
      <c r="C23" s="7" t="s">
        <v>2186</v>
      </c>
      <c r="D23" s="7" t="s">
        <v>2185</v>
      </c>
      <c r="E23" s="7" t="s">
        <v>2550</v>
      </c>
      <c r="F23" s="7" t="s">
        <v>2187</v>
      </c>
      <c r="G23" s="7" t="s">
        <v>2188</v>
      </c>
      <c r="H23" s="7" t="s">
        <v>2189</v>
      </c>
      <c r="I23" s="7" t="s">
        <v>2063</v>
      </c>
      <c r="J23" s="7" t="s">
        <v>627</v>
      </c>
      <c r="K23" s="7" t="s">
        <v>2495</v>
      </c>
      <c r="L23" s="7" t="s">
        <v>2433</v>
      </c>
      <c r="M23" s="7" t="s">
        <v>2434</v>
      </c>
      <c r="N23" s="7" t="s">
        <v>2497</v>
      </c>
      <c r="O23" s="7" t="s">
        <v>2534</v>
      </c>
      <c r="P23" s="7" t="s">
        <v>2191</v>
      </c>
      <c r="Q23" s="7"/>
      <c r="R23" s="7" t="s">
        <v>2190</v>
      </c>
      <c r="S23" s="7" t="s">
        <v>2438</v>
      </c>
      <c r="T23" s="7" t="s">
        <v>2439</v>
      </c>
      <c r="U23" s="7" t="s">
        <v>2440</v>
      </c>
      <c r="V23" s="7" t="s">
        <v>2441</v>
      </c>
      <c r="W23" s="7" t="s">
        <v>2442</v>
      </c>
    </row>
    <row r="24" customFormat="false" ht="158.2" hidden="false" customHeight="false" outlineLevel="0" collapsed="false">
      <c r="A24" s="7" t="s">
        <v>2201</v>
      </c>
      <c r="B24" s="7" t="s">
        <v>2530</v>
      </c>
      <c r="C24" s="7" t="s">
        <v>2186</v>
      </c>
      <c r="D24" s="7" t="s">
        <v>1568</v>
      </c>
      <c r="E24" s="7" t="s">
        <v>2551</v>
      </c>
      <c r="F24" s="7" t="s">
        <v>2194</v>
      </c>
      <c r="G24" s="7" t="s">
        <v>2196</v>
      </c>
      <c r="H24" s="7" t="s">
        <v>2197</v>
      </c>
      <c r="I24" s="7" t="s">
        <v>2063</v>
      </c>
      <c r="J24" s="7" t="s">
        <v>367</v>
      </c>
      <c r="K24" s="7" t="s">
        <v>2463</v>
      </c>
      <c r="L24" s="7" t="s">
        <v>2433</v>
      </c>
      <c r="M24" s="7" t="s">
        <v>2434</v>
      </c>
      <c r="N24" s="7" t="s">
        <v>2466</v>
      </c>
      <c r="O24" s="7" t="s">
        <v>2534</v>
      </c>
      <c r="P24" s="7" t="s">
        <v>2199</v>
      </c>
      <c r="Q24" s="7"/>
      <c r="R24" s="7" t="s">
        <v>2198</v>
      </c>
      <c r="S24" s="7" t="s">
        <v>2438</v>
      </c>
      <c r="T24" s="7" t="s">
        <v>2439</v>
      </c>
      <c r="U24" s="7" t="s">
        <v>2440</v>
      </c>
      <c r="V24" s="7" t="s">
        <v>2441</v>
      </c>
      <c r="W24" s="7" t="s">
        <v>2442</v>
      </c>
    </row>
    <row r="25" customFormat="false" ht="158.2" hidden="false" customHeight="false" outlineLevel="0" collapsed="false">
      <c r="A25" s="7" t="s">
        <v>2210</v>
      </c>
      <c r="B25" s="7" t="s">
        <v>2530</v>
      </c>
      <c r="C25" s="7" t="s">
        <v>2203</v>
      </c>
      <c r="D25" s="7" t="s">
        <v>2202</v>
      </c>
      <c r="E25" s="7" t="s">
        <v>2552</v>
      </c>
      <c r="F25" s="7" t="s">
        <v>2204</v>
      </c>
      <c r="G25" s="7" t="s">
        <v>2205</v>
      </c>
      <c r="H25" s="7" t="s">
        <v>2206</v>
      </c>
      <c r="I25" s="7" t="s">
        <v>2063</v>
      </c>
      <c r="J25" s="7" t="s">
        <v>627</v>
      </c>
      <c r="K25" s="7" t="s">
        <v>2495</v>
      </c>
      <c r="L25" s="7" t="s">
        <v>2433</v>
      </c>
      <c r="M25" s="7" t="s">
        <v>2434</v>
      </c>
      <c r="N25" s="7" t="s">
        <v>2497</v>
      </c>
      <c r="O25" s="7" t="s">
        <v>2534</v>
      </c>
      <c r="P25" s="7" t="s">
        <v>2208</v>
      </c>
      <c r="Q25" s="7"/>
      <c r="R25" s="7" t="s">
        <v>2207</v>
      </c>
      <c r="S25" s="7" t="s">
        <v>2438</v>
      </c>
      <c r="T25" s="7" t="s">
        <v>2439</v>
      </c>
      <c r="U25" s="7" t="s">
        <v>2440</v>
      </c>
      <c r="V25" s="7" t="s">
        <v>2441</v>
      </c>
      <c r="W25" s="7" t="s">
        <v>2442</v>
      </c>
    </row>
    <row r="26" customFormat="false" ht="158.2" hidden="false" customHeight="false" outlineLevel="0" collapsed="false">
      <c r="A26" s="7" t="s">
        <v>2219</v>
      </c>
      <c r="B26" s="7" t="s">
        <v>2530</v>
      </c>
      <c r="C26" s="7" t="s">
        <v>2203</v>
      </c>
      <c r="D26" s="7" t="s">
        <v>2211</v>
      </c>
      <c r="E26" s="7" t="s">
        <v>2553</v>
      </c>
      <c r="F26" s="7" t="s">
        <v>2212</v>
      </c>
      <c r="G26" s="7" t="s">
        <v>2213</v>
      </c>
      <c r="H26" s="7" t="s">
        <v>2214</v>
      </c>
      <c r="I26" s="7" t="s">
        <v>2063</v>
      </c>
      <c r="J26" s="7" t="s">
        <v>2039</v>
      </c>
      <c r="K26" s="7" t="s">
        <v>2532</v>
      </c>
      <c r="L26" s="7" t="s">
        <v>2433</v>
      </c>
      <c r="M26" s="7" t="s">
        <v>2434</v>
      </c>
      <c r="N26" s="7" t="s">
        <v>2533</v>
      </c>
      <c r="O26" s="7" t="s">
        <v>2534</v>
      </c>
      <c r="P26" s="7" t="s">
        <v>2216</v>
      </c>
      <c r="Q26" s="7"/>
      <c r="R26" s="7" t="s">
        <v>2215</v>
      </c>
      <c r="S26" s="7" t="s">
        <v>2438</v>
      </c>
      <c r="T26" s="7" t="s">
        <v>2439</v>
      </c>
      <c r="U26" s="7" t="s">
        <v>2440</v>
      </c>
      <c r="V26" s="7" t="s">
        <v>2441</v>
      </c>
      <c r="W26" s="7" t="s">
        <v>2442</v>
      </c>
    </row>
    <row r="27" customFormat="false" ht="158.2" hidden="false" customHeight="false" outlineLevel="0" collapsed="false">
      <c r="A27" s="7" t="s">
        <v>2227</v>
      </c>
      <c r="B27" s="7" t="s">
        <v>2530</v>
      </c>
      <c r="C27" s="7" t="s">
        <v>2203</v>
      </c>
      <c r="D27" s="7" t="s">
        <v>1205</v>
      </c>
      <c r="E27" s="7" t="s">
        <v>2554</v>
      </c>
      <c r="F27" s="7" t="s">
        <v>2220</v>
      </c>
      <c r="G27" s="7" t="s">
        <v>2222</v>
      </c>
      <c r="H27" s="7" t="s">
        <v>2223</v>
      </c>
      <c r="I27" s="7" t="s">
        <v>2063</v>
      </c>
      <c r="J27" s="7" t="s">
        <v>2039</v>
      </c>
      <c r="K27" s="7" t="s">
        <v>2532</v>
      </c>
      <c r="L27" s="7" t="s">
        <v>2433</v>
      </c>
      <c r="M27" s="7" t="s">
        <v>2434</v>
      </c>
      <c r="N27" s="7" t="s">
        <v>2533</v>
      </c>
      <c r="O27" s="7" t="s">
        <v>2534</v>
      </c>
      <c r="P27" s="7" t="s">
        <v>2225</v>
      </c>
      <c r="Q27" s="7"/>
      <c r="R27" s="7" t="s">
        <v>2224</v>
      </c>
      <c r="S27" s="7" t="s">
        <v>2438</v>
      </c>
      <c r="T27" s="7" t="s">
        <v>2439</v>
      </c>
      <c r="U27" s="7" t="s">
        <v>2440</v>
      </c>
      <c r="V27" s="7" t="s">
        <v>2441</v>
      </c>
      <c r="W27" s="7" t="s">
        <v>2442</v>
      </c>
    </row>
    <row r="28" customFormat="false" ht="158.2" hidden="false" customHeight="false" outlineLevel="0" collapsed="false">
      <c r="A28" s="7" t="s">
        <v>2237</v>
      </c>
      <c r="B28" s="7" t="s">
        <v>2530</v>
      </c>
      <c r="C28" s="7" t="s">
        <v>2203</v>
      </c>
      <c r="D28" s="7" t="s">
        <v>2228</v>
      </c>
      <c r="E28" s="7" t="s">
        <v>2555</v>
      </c>
      <c r="F28" s="7" t="s">
        <v>2229</v>
      </c>
      <c r="G28" s="7" t="s">
        <v>2231</v>
      </c>
      <c r="H28" s="7" t="s">
        <v>2232</v>
      </c>
      <c r="I28" s="7" t="s">
        <v>2063</v>
      </c>
      <c r="J28" s="7" t="s">
        <v>2039</v>
      </c>
      <c r="K28" s="7" t="s">
        <v>2532</v>
      </c>
      <c r="L28" s="7" t="s">
        <v>2433</v>
      </c>
      <c r="M28" s="7" t="s">
        <v>2434</v>
      </c>
      <c r="N28" s="7" t="s">
        <v>2533</v>
      </c>
      <c r="O28" s="7" t="s">
        <v>2534</v>
      </c>
      <c r="P28" s="7" t="s">
        <v>2234</v>
      </c>
      <c r="Q28" s="7"/>
      <c r="R28" s="7" t="s">
        <v>2233</v>
      </c>
      <c r="S28" s="7" t="s">
        <v>2438</v>
      </c>
      <c r="T28" s="7" t="s">
        <v>2439</v>
      </c>
      <c r="U28" s="7" t="s">
        <v>2440</v>
      </c>
      <c r="V28" s="7" t="s">
        <v>2441</v>
      </c>
      <c r="W28" s="7" t="s">
        <v>2442</v>
      </c>
    </row>
    <row r="29" customFormat="false" ht="158.2" hidden="false" customHeight="false" outlineLevel="0" collapsed="false">
      <c r="A29" s="7" t="s">
        <v>2246</v>
      </c>
      <c r="B29" s="7" t="s">
        <v>2530</v>
      </c>
      <c r="C29" s="7" t="s">
        <v>2203</v>
      </c>
      <c r="D29" s="7" t="s">
        <v>2238</v>
      </c>
      <c r="E29" s="7" t="s">
        <v>2556</v>
      </c>
      <c r="F29" s="7" t="s">
        <v>2239</v>
      </c>
      <c r="G29" s="7" t="s">
        <v>2241</v>
      </c>
      <c r="H29" s="7" t="s">
        <v>2242</v>
      </c>
      <c r="I29" s="7" t="s">
        <v>2063</v>
      </c>
      <c r="J29" s="7" t="s">
        <v>250</v>
      </c>
      <c r="K29" s="7" t="s">
        <v>2452</v>
      </c>
      <c r="L29" s="7" t="s">
        <v>2433</v>
      </c>
      <c r="M29" s="7" t="s">
        <v>2434</v>
      </c>
      <c r="N29" s="7" t="s">
        <v>2455</v>
      </c>
      <c r="O29" s="7" t="s">
        <v>2534</v>
      </c>
      <c r="P29" s="7" t="s">
        <v>2244</v>
      </c>
      <c r="Q29" s="7"/>
      <c r="R29" s="7" t="s">
        <v>2243</v>
      </c>
      <c r="S29" s="7" t="s">
        <v>2438</v>
      </c>
      <c r="T29" s="7" t="s">
        <v>2439</v>
      </c>
      <c r="U29" s="7" t="s">
        <v>2440</v>
      </c>
      <c r="V29" s="7" t="s">
        <v>2441</v>
      </c>
      <c r="W29" s="7" t="s">
        <v>2442</v>
      </c>
    </row>
    <row r="30" customFormat="false" ht="158.2" hidden="false" customHeight="false" outlineLevel="0" collapsed="false">
      <c r="A30" s="7" t="s">
        <v>2255</v>
      </c>
      <c r="B30" s="7" t="s">
        <v>2530</v>
      </c>
      <c r="C30" s="7" t="s">
        <v>2248</v>
      </c>
      <c r="D30" s="7" t="s">
        <v>2247</v>
      </c>
      <c r="E30" s="7" t="s">
        <v>2557</v>
      </c>
      <c r="F30" s="7" t="s">
        <v>2249</v>
      </c>
      <c r="G30" s="7" t="s">
        <v>2250</v>
      </c>
      <c r="H30" s="7" t="s">
        <v>2251</v>
      </c>
      <c r="I30" s="7" t="s">
        <v>2063</v>
      </c>
      <c r="J30" s="7" t="s">
        <v>2039</v>
      </c>
      <c r="K30" s="7" t="s">
        <v>2532</v>
      </c>
      <c r="L30" s="7" t="s">
        <v>2433</v>
      </c>
      <c r="M30" s="7" t="s">
        <v>2434</v>
      </c>
      <c r="N30" s="7" t="s">
        <v>2533</v>
      </c>
      <c r="O30" s="7" t="s">
        <v>2534</v>
      </c>
      <c r="P30" s="7" t="s">
        <v>2253</v>
      </c>
      <c r="Q30" s="7"/>
      <c r="R30" s="7" t="s">
        <v>2252</v>
      </c>
      <c r="S30" s="7" t="s">
        <v>2438</v>
      </c>
      <c r="T30" s="7" t="s">
        <v>2439</v>
      </c>
      <c r="U30" s="7" t="s">
        <v>2440</v>
      </c>
      <c r="V30" s="7" t="s">
        <v>2441</v>
      </c>
      <c r="W30" s="7" t="s">
        <v>2442</v>
      </c>
    </row>
    <row r="31" customFormat="false" ht="158.2" hidden="false" customHeight="false" outlineLevel="0" collapsed="false">
      <c r="A31" s="7" t="s">
        <v>2263</v>
      </c>
      <c r="B31" s="7" t="s">
        <v>2530</v>
      </c>
      <c r="C31" s="7" t="s">
        <v>2248</v>
      </c>
      <c r="D31" s="7" t="s">
        <v>2256</v>
      </c>
      <c r="E31" s="7" t="s">
        <v>2558</v>
      </c>
      <c r="F31" s="7" t="s">
        <v>2257</v>
      </c>
      <c r="G31" s="7" t="s">
        <v>2258</v>
      </c>
      <c r="H31" s="7" t="s">
        <v>2259</v>
      </c>
      <c r="I31" s="7" t="s">
        <v>2063</v>
      </c>
      <c r="J31" s="7" t="s">
        <v>2039</v>
      </c>
      <c r="K31" s="7" t="s">
        <v>2532</v>
      </c>
      <c r="L31" s="7" t="s">
        <v>2433</v>
      </c>
      <c r="M31" s="7" t="s">
        <v>2434</v>
      </c>
      <c r="N31" s="7" t="s">
        <v>2533</v>
      </c>
      <c r="O31" s="7" t="s">
        <v>2534</v>
      </c>
      <c r="P31" s="7" t="s">
        <v>2261</v>
      </c>
      <c r="Q31" s="7"/>
      <c r="R31" s="7" t="s">
        <v>2260</v>
      </c>
      <c r="S31" s="7" t="s">
        <v>2438</v>
      </c>
      <c r="T31" s="7" t="s">
        <v>2439</v>
      </c>
      <c r="U31" s="7" t="s">
        <v>2440</v>
      </c>
      <c r="V31" s="7" t="s">
        <v>2441</v>
      </c>
      <c r="W31" s="7" t="s">
        <v>2442</v>
      </c>
    </row>
    <row r="32" customFormat="false" ht="158.2" hidden="false" customHeight="false" outlineLevel="0" collapsed="false">
      <c r="A32" s="7" t="s">
        <v>2275</v>
      </c>
      <c r="B32" s="7" t="s">
        <v>2530</v>
      </c>
      <c r="C32" s="7" t="s">
        <v>2032</v>
      </c>
      <c r="D32" s="7" t="s">
        <v>412</v>
      </c>
      <c r="E32" s="7" t="s">
        <v>2559</v>
      </c>
      <c r="F32" s="7" t="s">
        <v>2266</v>
      </c>
      <c r="G32" s="7" t="s">
        <v>2268</v>
      </c>
      <c r="H32" s="7" t="s">
        <v>2269</v>
      </c>
      <c r="I32" s="7" t="s">
        <v>2270</v>
      </c>
      <c r="J32" s="7" t="s">
        <v>250</v>
      </c>
      <c r="K32" s="7" t="s">
        <v>2452</v>
      </c>
      <c r="L32" s="7" t="s">
        <v>2433</v>
      </c>
      <c r="M32" s="7" t="s">
        <v>2434</v>
      </c>
      <c r="N32" s="7" t="s">
        <v>2455</v>
      </c>
      <c r="O32" s="7" t="s">
        <v>2534</v>
      </c>
      <c r="P32" s="7" t="s">
        <v>2272</v>
      </c>
      <c r="Q32" s="7" t="s">
        <v>2273</v>
      </c>
      <c r="R32" s="7" t="s">
        <v>2271</v>
      </c>
      <c r="S32" s="7" t="s">
        <v>2438</v>
      </c>
      <c r="T32" s="7" t="s">
        <v>2439</v>
      </c>
      <c r="U32" s="7" t="s">
        <v>2440</v>
      </c>
      <c r="V32" s="7" t="s">
        <v>2441</v>
      </c>
      <c r="W32" s="7" t="s">
        <v>2442</v>
      </c>
    </row>
    <row r="33" customFormat="false" ht="158.2" hidden="false" customHeight="false" outlineLevel="0" collapsed="false">
      <c r="A33" s="7" t="s">
        <v>2282</v>
      </c>
      <c r="B33" s="7" t="s">
        <v>2530</v>
      </c>
      <c r="C33" s="7" t="s">
        <v>2032</v>
      </c>
      <c r="D33" s="7" t="s">
        <v>368</v>
      </c>
      <c r="E33" s="7" t="s">
        <v>2560</v>
      </c>
      <c r="F33" s="7" t="s">
        <v>2276</v>
      </c>
      <c r="G33" s="7" t="s">
        <v>2278</v>
      </c>
      <c r="H33" s="7" t="s">
        <v>2279</v>
      </c>
      <c r="I33" s="7" t="s">
        <v>2270</v>
      </c>
      <c r="J33" s="7" t="s">
        <v>367</v>
      </c>
      <c r="K33" s="7" t="s">
        <v>2463</v>
      </c>
      <c r="L33" s="7" t="s">
        <v>2433</v>
      </c>
      <c r="M33" s="7" t="s">
        <v>2434</v>
      </c>
      <c r="N33" s="7" t="s">
        <v>2466</v>
      </c>
      <c r="O33" s="7" t="s">
        <v>2534</v>
      </c>
      <c r="P33" s="7" t="s">
        <v>2281</v>
      </c>
      <c r="Q33" s="7" t="s">
        <v>363</v>
      </c>
      <c r="R33" s="7" t="s">
        <v>2280</v>
      </c>
      <c r="S33" s="7" t="s">
        <v>2438</v>
      </c>
      <c r="T33" s="7" t="s">
        <v>2439</v>
      </c>
      <c r="U33" s="7" t="s">
        <v>2440</v>
      </c>
      <c r="V33" s="7" t="s">
        <v>2441</v>
      </c>
      <c r="W33" s="7" t="s">
        <v>2442</v>
      </c>
    </row>
    <row r="34" customFormat="false" ht="158.2" hidden="false" customHeight="false" outlineLevel="0" collapsed="false">
      <c r="A34" s="7" t="s">
        <v>2287</v>
      </c>
      <c r="B34" s="7" t="s">
        <v>2530</v>
      </c>
      <c r="C34" s="7" t="s">
        <v>2078</v>
      </c>
      <c r="D34" s="7" t="s">
        <v>1364</v>
      </c>
      <c r="E34" s="7" t="s">
        <v>2561</v>
      </c>
      <c r="F34" s="7" t="s">
        <v>2283</v>
      </c>
      <c r="G34" s="7" t="s">
        <v>2284</v>
      </c>
      <c r="H34" s="7" t="s">
        <v>2285</v>
      </c>
      <c r="I34" s="7" t="s">
        <v>2270</v>
      </c>
      <c r="J34" s="7" t="s">
        <v>250</v>
      </c>
      <c r="K34" s="7" t="s">
        <v>2452</v>
      </c>
      <c r="L34" s="7" t="s">
        <v>2433</v>
      </c>
      <c r="M34" s="7" t="s">
        <v>2434</v>
      </c>
      <c r="N34" s="7" t="s">
        <v>2455</v>
      </c>
      <c r="O34" s="7" t="s">
        <v>2534</v>
      </c>
      <c r="P34" s="7" t="s">
        <v>2286</v>
      </c>
      <c r="Q34" s="7"/>
      <c r="R34" s="7"/>
      <c r="S34" s="7" t="s">
        <v>2438</v>
      </c>
      <c r="T34" s="7" t="s">
        <v>2439</v>
      </c>
      <c r="U34" s="7" t="s">
        <v>2440</v>
      </c>
      <c r="V34" s="7" t="s">
        <v>2441</v>
      </c>
      <c r="W34" s="7" t="s">
        <v>2442</v>
      </c>
    </row>
    <row r="35" customFormat="false" ht="158.2" hidden="false" customHeight="false" outlineLevel="0" collapsed="false">
      <c r="A35" s="7" t="s">
        <v>2292</v>
      </c>
      <c r="B35" s="7" t="s">
        <v>2530</v>
      </c>
      <c r="C35" s="7" t="s">
        <v>2078</v>
      </c>
      <c r="D35" s="7" t="s">
        <v>1057</v>
      </c>
      <c r="E35" s="7" t="s">
        <v>2562</v>
      </c>
      <c r="F35" s="7" t="s">
        <v>2288</v>
      </c>
      <c r="G35" s="7" t="s">
        <v>2289</v>
      </c>
      <c r="H35" s="7" t="s">
        <v>2290</v>
      </c>
      <c r="I35" s="7" t="s">
        <v>2270</v>
      </c>
      <c r="J35" s="7" t="s">
        <v>250</v>
      </c>
      <c r="K35" s="7" t="s">
        <v>2452</v>
      </c>
      <c r="L35" s="7" t="s">
        <v>2433</v>
      </c>
      <c r="M35" s="7" t="s">
        <v>2434</v>
      </c>
      <c r="N35" s="7" t="s">
        <v>2455</v>
      </c>
      <c r="O35" s="7" t="s">
        <v>2534</v>
      </c>
      <c r="P35" s="7" t="s">
        <v>2291</v>
      </c>
      <c r="Q35" s="7"/>
      <c r="R35" s="7"/>
      <c r="S35" s="7" t="s">
        <v>2438</v>
      </c>
      <c r="T35" s="7" t="s">
        <v>2439</v>
      </c>
      <c r="U35" s="7" t="s">
        <v>2440</v>
      </c>
      <c r="V35" s="7" t="s">
        <v>2441</v>
      </c>
      <c r="W35" s="7" t="s">
        <v>2442</v>
      </c>
    </row>
    <row r="36" customFormat="false" ht="158.2" hidden="false" customHeight="false" outlineLevel="0" collapsed="false">
      <c r="A36" s="7" t="s">
        <v>2299</v>
      </c>
      <c r="B36" s="7" t="s">
        <v>2530</v>
      </c>
      <c r="C36" s="7" t="s">
        <v>2078</v>
      </c>
      <c r="D36" s="7" t="s">
        <v>2293</v>
      </c>
      <c r="E36" s="7" t="s">
        <v>2563</v>
      </c>
      <c r="F36" s="7" t="s">
        <v>2294</v>
      </c>
      <c r="G36" s="7" t="s">
        <v>2296</v>
      </c>
      <c r="H36" s="7" t="s">
        <v>2297</v>
      </c>
      <c r="I36" s="7" t="s">
        <v>2270</v>
      </c>
      <c r="J36" s="7" t="s">
        <v>250</v>
      </c>
      <c r="K36" s="7" t="s">
        <v>2452</v>
      </c>
      <c r="L36" s="7" t="s">
        <v>2433</v>
      </c>
      <c r="M36" s="7" t="s">
        <v>2434</v>
      </c>
      <c r="N36" s="7" t="s">
        <v>2455</v>
      </c>
      <c r="O36" s="7" t="s">
        <v>2534</v>
      </c>
      <c r="P36" s="7" t="s">
        <v>2298</v>
      </c>
      <c r="Q36" s="7"/>
      <c r="R36" s="7"/>
      <c r="S36" s="7" t="s">
        <v>2438</v>
      </c>
      <c r="T36" s="7" t="s">
        <v>2439</v>
      </c>
      <c r="U36" s="7" t="s">
        <v>2440</v>
      </c>
      <c r="V36" s="7" t="s">
        <v>2441</v>
      </c>
      <c r="W36" s="7" t="s">
        <v>2442</v>
      </c>
    </row>
    <row r="37" customFormat="false" ht="158.2" hidden="false" customHeight="false" outlineLevel="0" collapsed="false">
      <c r="A37" s="7" t="s">
        <v>2304</v>
      </c>
      <c r="B37" s="7" t="s">
        <v>2530</v>
      </c>
      <c r="C37" s="7" t="s">
        <v>2078</v>
      </c>
      <c r="D37" s="7" t="s">
        <v>589</v>
      </c>
      <c r="E37" s="7" t="s">
        <v>2564</v>
      </c>
      <c r="F37" s="7" t="s">
        <v>2300</v>
      </c>
      <c r="G37" s="7" t="s">
        <v>2301</v>
      </c>
      <c r="H37" s="7" t="s">
        <v>2302</v>
      </c>
      <c r="I37" s="7" t="s">
        <v>2270</v>
      </c>
      <c r="J37" s="7" t="s">
        <v>347</v>
      </c>
      <c r="K37" s="7" t="s">
        <v>2458</v>
      </c>
      <c r="L37" s="7" t="s">
        <v>2433</v>
      </c>
      <c r="M37" s="7" t="s">
        <v>2434</v>
      </c>
      <c r="N37" s="7" t="s">
        <v>2461</v>
      </c>
      <c r="O37" s="7" t="s">
        <v>2534</v>
      </c>
      <c r="P37" s="7" t="s">
        <v>2303</v>
      </c>
      <c r="Q37" s="7"/>
      <c r="R37" s="7"/>
      <c r="S37" s="7" t="s">
        <v>2438</v>
      </c>
      <c r="T37" s="7" t="s">
        <v>2439</v>
      </c>
      <c r="U37" s="7" t="s">
        <v>2440</v>
      </c>
      <c r="V37" s="7" t="s">
        <v>2441</v>
      </c>
      <c r="W37" s="7" t="s">
        <v>2442</v>
      </c>
    </row>
    <row r="38" customFormat="false" ht="158.2" hidden="false" customHeight="false" outlineLevel="0" collapsed="false">
      <c r="A38" s="7" t="s">
        <v>2310</v>
      </c>
      <c r="B38" s="7" t="s">
        <v>2530</v>
      </c>
      <c r="C38" s="7" t="s">
        <v>2078</v>
      </c>
      <c r="D38" s="7" t="s">
        <v>570</v>
      </c>
      <c r="E38" s="7" t="s">
        <v>2565</v>
      </c>
      <c r="F38" s="7" t="s">
        <v>2305</v>
      </c>
      <c r="G38" s="7" t="s">
        <v>2306</v>
      </c>
      <c r="H38" s="7" t="s">
        <v>2307</v>
      </c>
      <c r="I38" s="7" t="s">
        <v>2270</v>
      </c>
      <c r="J38" s="7" t="s">
        <v>250</v>
      </c>
      <c r="K38" s="7" t="s">
        <v>2452</v>
      </c>
      <c r="L38" s="7" t="s">
        <v>2433</v>
      </c>
      <c r="M38" s="7" t="s">
        <v>2434</v>
      </c>
      <c r="N38" s="7" t="s">
        <v>2455</v>
      </c>
      <c r="O38" s="7" t="s">
        <v>2534</v>
      </c>
      <c r="P38" s="7" t="s">
        <v>2308</v>
      </c>
      <c r="Q38" s="7"/>
      <c r="R38" s="7"/>
      <c r="S38" s="7" t="s">
        <v>2438</v>
      </c>
      <c r="T38" s="7" t="s">
        <v>2439</v>
      </c>
      <c r="U38" s="7" t="s">
        <v>2440</v>
      </c>
      <c r="V38" s="7" t="s">
        <v>2441</v>
      </c>
      <c r="W38" s="7" t="s">
        <v>2442</v>
      </c>
    </row>
    <row r="39" customFormat="false" ht="158.2" hidden="false" customHeight="false" outlineLevel="0" collapsed="false">
      <c r="A39" s="7" t="s">
        <v>2315</v>
      </c>
      <c r="B39" s="7" t="s">
        <v>2530</v>
      </c>
      <c r="C39" s="7" t="s">
        <v>2137</v>
      </c>
      <c r="D39" s="7" t="s">
        <v>1454</v>
      </c>
      <c r="E39" s="7" t="s">
        <v>2566</v>
      </c>
      <c r="F39" s="7" t="s">
        <v>2311</v>
      </c>
      <c r="G39" s="7" t="s">
        <v>2312</v>
      </c>
      <c r="H39" s="7" t="s">
        <v>2313</v>
      </c>
      <c r="I39" s="7" t="s">
        <v>2270</v>
      </c>
      <c r="J39" s="7" t="s">
        <v>250</v>
      </c>
      <c r="K39" s="7" t="s">
        <v>2452</v>
      </c>
      <c r="L39" s="7" t="s">
        <v>2433</v>
      </c>
      <c r="M39" s="7" t="s">
        <v>2434</v>
      </c>
      <c r="N39" s="7" t="s">
        <v>2455</v>
      </c>
      <c r="O39" s="7" t="s">
        <v>2534</v>
      </c>
      <c r="P39" s="7" t="s">
        <v>2314</v>
      </c>
      <c r="Q39" s="7"/>
      <c r="R39" s="7"/>
      <c r="S39" s="7" t="s">
        <v>2438</v>
      </c>
      <c r="T39" s="7" t="s">
        <v>2439</v>
      </c>
      <c r="U39" s="7" t="s">
        <v>2440</v>
      </c>
      <c r="V39" s="7" t="s">
        <v>2441</v>
      </c>
      <c r="W39" s="7" t="s">
        <v>2442</v>
      </c>
    </row>
    <row r="40" customFormat="false" ht="158.2" hidden="false" customHeight="false" outlineLevel="0" collapsed="false">
      <c r="A40" s="7" t="s">
        <v>2321</v>
      </c>
      <c r="B40" s="7" t="s">
        <v>2530</v>
      </c>
      <c r="C40" s="7" t="s">
        <v>2137</v>
      </c>
      <c r="D40" s="7" t="s">
        <v>1154</v>
      </c>
      <c r="E40" s="7" t="s">
        <v>2567</v>
      </c>
      <c r="F40" s="7" t="s">
        <v>2316</v>
      </c>
      <c r="G40" s="7" t="s">
        <v>2317</v>
      </c>
      <c r="H40" s="7" t="s">
        <v>2318</v>
      </c>
      <c r="I40" s="7" t="s">
        <v>2270</v>
      </c>
      <c r="J40" s="7" t="s">
        <v>598</v>
      </c>
      <c r="K40" s="7" t="s">
        <v>2489</v>
      </c>
      <c r="L40" s="7" t="s">
        <v>2433</v>
      </c>
      <c r="M40" s="7" t="s">
        <v>2434</v>
      </c>
      <c r="N40" s="7" t="s">
        <v>2492</v>
      </c>
      <c r="O40" s="7" t="s">
        <v>2534</v>
      </c>
      <c r="P40" s="7" t="s">
        <v>2319</v>
      </c>
      <c r="Q40" s="7"/>
      <c r="R40" s="7"/>
      <c r="S40" s="7" t="s">
        <v>2438</v>
      </c>
      <c r="T40" s="7" t="s">
        <v>2439</v>
      </c>
      <c r="U40" s="7" t="s">
        <v>2440</v>
      </c>
      <c r="V40" s="7" t="s">
        <v>2441</v>
      </c>
      <c r="W40" s="7" t="s">
        <v>2442</v>
      </c>
    </row>
    <row r="41" customFormat="false" ht="158.2" hidden="false" customHeight="false" outlineLevel="0" collapsed="false">
      <c r="A41" s="7" t="s">
        <v>2326</v>
      </c>
      <c r="B41" s="7" t="s">
        <v>2530</v>
      </c>
      <c r="C41" s="7" t="s">
        <v>2137</v>
      </c>
      <c r="D41" s="7" t="s">
        <v>1557</v>
      </c>
      <c r="E41" s="7" t="s">
        <v>2568</v>
      </c>
      <c r="F41" s="7" t="s">
        <v>2322</v>
      </c>
      <c r="G41" s="7" t="s">
        <v>2323</v>
      </c>
      <c r="H41" s="7" t="s">
        <v>2324</v>
      </c>
      <c r="I41" s="7" t="s">
        <v>2270</v>
      </c>
      <c r="J41" s="7" t="s">
        <v>523</v>
      </c>
      <c r="K41" s="7" t="s">
        <v>2468</v>
      </c>
      <c r="L41" s="7" t="s">
        <v>2433</v>
      </c>
      <c r="M41" s="7" t="s">
        <v>2434</v>
      </c>
      <c r="N41" s="7" t="s">
        <v>2471</v>
      </c>
      <c r="O41" s="7" t="s">
        <v>2534</v>
      </c>
      <c r="P41" s="7" t="s">
        <v>2325</v>
      </c>
      <c r="Q41" s="7"/>
      <c r="R41" s="7"/>
      <c r="S41" s="7" t="s">
        <v>2438</v>
      </c>
      <c r="T41" s="7" t="s">
        <v>2439</v>
      </c>
      <c r="U41" s="7" t="s">
        <v>2440</v>
      </c>
      <c r="V41" s="7" t="s">
        <v>2441</v>
      </c>
      <c r="W41" s="7" t="s">
        <v>2442</v>
      </c>
    </row>
    <row r="42" customFormat="false" ht="158.2" hidden="false" customHeight="false" outlineLevel="0" collapsed="false">
      <c r="A42" s="7" t="s">
        <v>2331</v>
      </c>
      <c r="B42" s="7" t="s">
        <v>2530</v>
      </c>
      <c r="C42" s="7" t="s">
        <v>2137</v>
      </c>
      <c r="D42" s="7" t="s">
        <v>609</v>
      </c>
      <c r="E42" s="7" t="s">
        <v>2569</v>
      </c>
      <c r="F42" s="7" t="s">
        <v>2327</v>
      </c>
      <c r="G42" s="7" t="s">
        <v>2328</v>
      </c>
      <c r="H42" s="7" t="s">
        <v>2329</v>
      </c>
      <c r="I42" s="7" t="s">
        <v>2270</v>
      </c>
      <c r="J42" s="7" t="s">
        <v>523</v>
      </c>
      <c r="K42" s="7" t="s">
        <v>2468</v>
      </c>
      <c r="L42" s="7" t="s">
        <v>2433</v>
      </c>
      <c r="M42" s="7" t="s">
        <v>2434</v>
      </c>
      <c r="N42" s="7" t="s">
        <v>2471</v>
      </c>
      <c r="O42" s="7" t="s">
        <v>2534</v>
      </c>
      <c r="P42" s="7" t="s">
        <v>2330</v>
      </c>
      <c r="Q42" s="7"/>
      <c r="R42" s="7"/>
      <c r="S42" s="7" t="s">
        <v>2438</v>
      </c>
      <c r="T42" s="7" t="s">
        <v>2439</v>
      </c>
      <c r="U42" s="7" t="s">
        <v>2440</v>
      </c>
      <c r="V42" s="7" t="s">
        <v>2441</v>
      </c>
      <c r="W42" s="7" t="s">
        <v>2442</v>
      </c>
    </row>
    <row r="43" customFormat="false" ht="158.2" hidden="false" customHeight="false" outlineLevel="0" collapsed="false">
      <c r="A43" s="7" t="s">
        <v>2336</v>
      </c>
      <c r="B43" s="7" t="s">
        <v>2530</v>
      </c>
      <c r="C43" s="7" t="s">
        <v>2186</v>
      </c>
      <c r="D43" s="7" t="s">
        <v>1593</v>
      </c>
      <c r="E43" s="7" t="s">
        <v>2570</v>
      </c>
      <c r="F43" s="7" t="s">
        <v>2332</v>
      </c>
      <c r="G43" s="7" t="s">
        <v>2333</v>
      </c>
      <c r="H43" s="7" t="s">
        <v>2334</v>
      </c>
      <c r="I43" s="7" t="s">
        <v>2270</v>
      </c>
      <c r="J43" s="7" t="s">
        <v>627</v>
      </c>
      <c r="K43" s="7" t="s">
        <v>2495</v>
      </c>
      <c r="L43" s="7" t="s">
        <v>2433</v>
      </c>
      <c r="M43" s="7" t="s">
        <v>2434</v>
      </c>
      <c r="N43" s="7" t="s">
        <v>2497</v>
      </c>
      <c r="O43" s="7" t="s">
        <v>2534</v>
      </c>
      <c r="P43" s="7" t="s">
        <v>2335</v>
      </c>
      <c r="Q43" s="7"/>
      <c r="R43" s="7"/>
      <c r="S43" s="7" t="s">
        <v>2438</v>
      </c>
      <c r="T43" s="7" t="s">
        <v>2439</v>
      </c>
      <c r="U43" s="7" t="s">
        <v>2440</v>
      </c>
      <c r="V43" s="7" t="s">
        <v>2441</v>
      </c>
      <c r="W43" s="7" t="s">
        <v>2442</v>
      </c>
    </row>
    <row r="44" customFormat="false" ht="158.2" hidden="false" customHeight="false" outlineLevel="0" collapsed="false">
      <c r="A44" s="7" t="s">
        <v>2341</v>
      </c>
      <c r="B44" s="7" t="s">
        <v>2530</v>
      </c>
      <c r="C44" s="7" t="s">
        <v>2186</v>
      </c>
      <c r="D44" s="7" t="s">
        <v>1211</v>
      </c>
      <c r="E44" s="7" t="s">
        <v>2571</v>
      </c>
      <c r="F44" s="7" t="s">
        <v>2337</v>
      </c>
      <c r="G44" s="7" t="s">
        <v>2338</v>
      </c>
      <c r="H44" s="7" t="s">
        <v>2339</v>
      </c>
      <c r="I44" s="7" t="s">
        <v>2270</v>
      </c>
      <c r="J44" s="7" t="s">
        <v>367</v>
      </c>
      <c r="K44" s="7" t="s">
        <v>2463</v>
      </c>
      <c r="L44" s="7" t="s">
        <v>2433</v>
      </c>
      <c r="M44" s="7" t="s">
        <v>2434</v>
      </c>
      <c r="N44" s="7" t="s">
        <v>2466</v>
      </c>
      <c r="O44" s="7" t="s">
        <v>2534</v>
      </c>
      <c r="P44" s="7" t="s">
        <v>2340</v>
      </c>
      <c r="Q44" s="7"/>
      <c r="R44" s="7"/>
      <c r="S44" s="7" t="s">
        <v>2438</v>
      </c>
      <c r="T44" s="7" t="s">
        <v>2439</v>
      </c>
      <c r="U44" s="7" t="s">
        <v>2440</v>
      </c>
      <c r="V44" s="7" t="s">
        <v>2441</v>
      </c>
      <c r="W44" s="7" t="s">
        <v>2442</v>
      </c>
    </row>
    <row r="45" customFormat="false" ht="158.2" hidden="false" customHeight="false" outlineLevel="0" collapsed="false">
      <c r="A45" s="7" t="s">
        <v>2346</v>
      </c>
      <c r="B45" s="7" t="s">
        <v>2530</v>
      </c>
      <c r="C45" s="7" t="s">
        <v>2186</v>
      </c>
      <c r="D45" s="7" t="s">
        <v>1188</v>
      </c>
      <c r="E45" s="7" t="s">
        <v>2572</v>
      </c>
      <c r="F45" s="7" t="s">
        <v>2342</v>
      </c>
      <c r="G45" s="7" t="s">
        <v>2343</v>
      </c>
      <c r="H45" s="7" t="s">
        <v>2344</v>
      </c>
      <c r="I45" s="7" t="s">
        <v>2270</v>
      </c>
      <c r="J45" s="7" t="s">
        <v>627</v>
      </c>
      <c r="K45" s="7" t="s">
        <v>2495</v>
      </c>
      <c r="L45" s="7" t="s">
        <v>2433</v>
      </c>
      <c r="M45" s="7" t="s">
        <v>2434</v>
      </c>
      <c r="N45" s="7" t="s">
        <v>2497</v>
      </c>
      <c r="O45" s="7" t="s">
        <v>2534</v>
      </c>
      <c r="P45" s="7" t="s">
        <v>2345</v>
      </c>
      <c r="Q45" s="7"/>
      <c r="R45" s="7"/>
      <c r="S45" s="7" t="s">
        <v>2438</v>
      </c>
      <c r="T45" s="7" t="s">
        <v>2439</v>
      </c>
      <c r="U45" s="7" t="s">
        <v>2440</v>
      </c>
      <c r="V45" s="7" t="s">
        <v>2441</v>
      </c>
      <c r="W45" s="7" t="s">
        <v>2442</v>
      </c>
    </row>
    <row r="46" customFormat="false" ht="158.2" hidden="false" customHeight="false" outlineLevel="0" collapsed="false">
      <c r="A46" s="7" t="s">
        <v>2352</v>
      </c>
      <c r="B46" s="7" t="s">
        <v>2530</v>
      </c>
      <c r="C46" s="7" t="s">
        <v>2186</v>
      </c>
      <c r="D46" s="7" t="s">
        <v>1150</v>
      </c>
      <c r="E46" s="7" t="s">
        <v>2573</v>
      </c>
      <c r="F46" s="7" t="s">
        <v>2347</v>
      </c>
      <c r="G46" s="7" t="s">
        <v>2348</v>
      </c>
      <c r="H46" s="7" t="s">
        <v>2349</v>
      </c>
      <c r="I46" s="7" t="s">
        <v>2270</v>
      </c>
      <c r="J46" s="7" t="s">
        <v>627</v>
      </c>
      <c r="K46" s="7" t="s">
        <v>2495</v>
      </c>
      <c r="L46" s="7" t="s">
        <v>2433</v>
      </c>
      <c r="M46" s="7" t="s">
        <v>2434</v>
      </c>
      <c r="N46" s="7" t="s">
        <v>2497</v>
      </c>
      <c r="O46" s="7" t="s">
        <v>2534</v>
      </c>
      <c r="P46" s="7" t="s">
        <v>2350</v>
      </c>
      <c r="Q46" s="7"/>
      <c r="R46" s="7"/>
      <c r="S46" s="7" t="s">
        <v>2438</v>
      </c>
      <c r="T46" s="7" t="s">
        <v>2439</v>
      </c>
      <c r="U46" s="7" t="s">
        <v>2440</v>
      </c>
      <c r="V46" s="7" t="s">
        <v>2441</v>
      </c>
      <c r="W46" s="7" t="s">
        <v>2442</v>
      </c>
    </row>
    <row r="47" customFormat="false" ht="158.2" hidden="false" customHeight="false" outlineLevel="0" collapsed="false">
      <c r="A47" s="7" t="s">
        <v>2358</v>
      </c>
      <c r="B47" s="7" t="s">
        <v>2530</v>
      </c>
      <c r="C47" s="7" t="s">
        <v>2186</v>
      </c>
      <c r="D47" s="7" t="s">
        <v>1228</v>
      </c>
      <c r="E47" s="7" t="s">
        <v>2574</v>
      </c>
      <c r="F47" s="7" t="s">
        <v>2353</v>
      </c>
      <c r="G47" s="7" t="s">
        <v>2355</v>
      </c>
      <c r="H47" s="7" t="s">
        <v>2356</v>
      </c>
      <c r="I47" s="7" t="s">
        <v>2270</v>
      </c>
      <c r="J47" s="7" t="s">
        <v>367</v>
      </c>
      <c r="K47" s="7" t="s">
        <v>2463</v>
      </c>
      <c r="L47" s="7" t="s">
        <v>2433</v>
      </c>
      <c r="M47" s="7" t="s">
        <v>2434</v>
      </c>
      <c r="N47" s="7" t="s">
        <v>2466</v>
      </c>
      <c r="O47" s="7" t="s">
        <v>2534</v>
      </c>
      <c r="P47" s="7" t="s">
        <v>2357</v>
      </c>
      <c r="Q47" s="7"/>
      <c r="R47" s="7"/>
      <c r="S47" s="7" t="s">
        <v>2438</v>
      </c>
      <c r="T47" s="7" t="s">
        <v>2439</v>
      </c>
      <c r="U47" s="7" t="s">
        <v>2440</v>
      </c>
      <c r="V47" s="7" t="s">
        <v>2441</v>
      </c>
      <c r="W47" s="7" t="s">
        <v>2442</v>
      </c>
    </row>
    <row r="48" customFormat="false" ht="158.2" hidden="false" customHeight="false" outlineLevel="0" collapsed="false">
      <c r="A48" s="7" t="s">
        <v>2365</v>
      </c>
      <c r="B48" s="7" t="s">
        <v>2530</v>
      </c>
      <c r="C48" s="7" t="s">
        <v>2186</v>
      </c>
      <c r="D48" s="7" t="s">
        <v>333</v>
      </c>
      <c r="E48" s="7" t="s">
        <v>2575</v>
      </c>
      <c r="F48" s="7" t="s">
        <v>2359</v>
      </c>
      <c r="G48" s="7" t="s">
        <v>2361</v>
      </c>
      <c r="H48" s="7" t="s">
        <v>2362</v>
      </c>
      <c r="I48" s="7" t="s">
        <v>2270</v>
      </c>
      <c r="J48" s="7" t="s">
        <v>347</v>
      </c>
      <c r="K48" s="7" t="s">
        <v>2458</v>
      </c>
      <c r="L48" s="7" t="s">
        <v>2433</v>
      </c>
      <c r="M48" s="7" t="s">
        <v>2434</v>
      </c>
      <c r="N48" s="7" t="s">
        <v>2461</v>
      </c>
      <c r="O48" s="7" t="s">
        <v>2534</v>
      </c>
      <c r="P48" s="7" t="s">
        <v>2363</v>
      </c>
      <c r="Q48" s="7" t="s">
        <v>2364</v>
      </c>
      <c r="R48" s="7"/>
      <c r="S48" s="7" t="s">
        <v>2438</v>
      </c>
      <c r="T48" s="7" t="s">
        <v>2439</v>
      </c>
      <c r="U48" s="7" t="s">
        <v>2440</v>
      </c>
      <c r="V48" s="7" t="s">
        <v>2441</v>
      </c>
      <c r="W48" s="7" t="s">
        <v>2442</v>
      </c>
    </row>
    <row r="49" customFormat="false" ht="158.2" hidden="false" customHeight="false" outlineLevel="0" collapsed="false">
      <c r="A49" s="7" t="s">
        <v>2371</v>
      </c>
      <c r="B49" s="7" t="s">
        <v>2530</v>
      </c>
      <c r="C49" s="7" t="s">
        <v>2186</v>
      </c>
      <c r="D49" s="7" t="s">
        <v>1849</v>
      </c>
      <c r="E49" s="7" t="s">
        <v>2576</v>
      </c>
      <c r="F49" s="7" t="s">
        <v>2366</v>
      </c>
      <c r="G49" s="7" t="s">
        <v>2368</v>
      </c>
      <c r="H49" s="7" t="s">
        <v>2369</v>
      </c>
      <c r="I49" s="7" t="s">
        <v>2270</v>
      </c>
      <c r="J49" s="7" t="s">
        <v>367</v>
      </c>
      <c r="K49" s="7" t="s">
        <v>2463</v>
      </c>
      <c r="L49" s="7" t="s">
        <v>2433</v>
      </c>
      <c r="M49" s="7" t="s">
        <v>2434</v>
      </c>
      <c r="N49" s="7" t="s">
        <v>2466</v>
      </c>
      <c r="O49" s="7" t="s">
        <v>2534</v>
      </c>
      <c r="P49" s="7" t="s">
        <v>2370</v>
      </c>
      <c r="Q49" s="7"/>
      <c r="R49" s="7"/>
      <c r="S49" s="7" t="s">
        <v>2438</v>
      </c>
      <c r="T49" s="7" t="s">
        <v>2439</v>
      </c>
      <c r="U49" s="7" t="s">
        <v>2440</v>
      </c>
      <c r="V49" s="7" t="s">
        <v>2441</v>
      </c>
      <c r="W49" s="7" t="s">
        <v>2442</v>
      </c>
    </row>
    <row r="50" customFormat="false" ht="158.2" hidden="false" customHeight="false" outlineLevel="0" collapsed="false">
      <c r="A50" s="7" t="s">
        <v>2378</v>
      </c>
      <c r="B50" s="7" t="s">
        <v>2530</v>
      </c>
      <c r="C50" s="7" t="s">
        <v>2186</v>
      </c>
      <c r="D50" s="7" t="s">
        <v>618</v>
      </c>
      <c r="E50" s="7" t="s">
        <v>2577</v>
      </c>
      <c r="F50" s="7" t="s">
        <v>2372</v>
      </c>
      <c r="G50" s="7" t="s">
        <v>2374</v>
      </c>
      <c r="H50" s="7" t="s">
        <v>2375</v>
      </c>
      <c r="I50" s="7" t="s">
        <v>2270</v>
      </c>
      <c r="J50" s="7" t="s">
        <v>523</v>
      </c>
      <c r="K50" s="7" t="s">
        <v>2468</v>
      </c>
      <c r="L50" s="7" t="s">
        <v>2433</v>
      </c>
      <c r="M50" s="7" t="s">
        <v>2434</v>
      </c>
      <c r="N50" s="7" t="s">
        <v>2471</v>
      </c>
      <c r="O50" s="7" t="s">
        <v>2534</v>
      </c>
      <c r="P50" s="7" t="s">
        <v>2376</v>
      </c>
      <c r="Q50" s="7"/>
      <c r="R50" s="7"/>
      <c r="S50" s="7" t="s">
        <v>2438</v>
      </c>
      <c r="T50" s="7" t="s">
        <v>2439</v>
      </c>
      <c r="U50" s="7" t="s">
        <v>2440</v>
      </c>
      <c r="V50" s="7" t="s">
        <v>2441</v>
      </c>
      <c r="W50" s="7" t="s">
        <v>2442</v>
      </c>
    </row>
    <row r="51" customFormat="false" ht="158.2" hidden="false" customHeight="false" outlineLevel="0" collapsed="false">
      <c r="A51" s="7" t="s">
        <v>2384</v>
      </c>
      <c r="B51" s="7" t="s">
        <v>2530</v>
      </c>
      <c r="C51" s="7" t="s">
        <v>2186</v>
      </c>
      <c r="D51" s="7" t="s">
        <v>1267</v>
      </c>
      <c r="E51" s="7" t="s">
        <v>2578</v>
      </c>
      <c r="F51" s="7" t="s">
        <v>2379</v>
      </c>
      <c r="G51" s="7" t="s">
        <v>2381</v>
      </c>
      <c r="H51" s="7" t="s">
        <v>2382</v>
      </c>
      <c r="I51" s="7" t="s">
        <v>2270</v>
      </c>
      <c r="J51" s="7" t="s">
        <v>627</v>
      </c>
      <c r="K51" s="7" t="s">
        <v>2495</v>
      </c>
      <c r="L51" s="7" t="s">
        <v>2433</v>
      </c>
      <c r="M51" s="7" t="s">
        <v>2434</v>
      </c>
      <c r="N51" s="7" t="s">
        <v>2497</v>
      </c>
      <c r="O51" s="7" t="s">
        <v>2534</v>
      </c>
      <c r="P51" s="7" t="s">
        <v>2383</v>
      </c>
      <c r="Q51" s="7"/>
      <c r="R51" s="7"/>
      <c r="S51" s="7" t="s">
        <v>2438</v>
      </c>
      <c r="T51" s="7" t="s">
        <v>2439</v>
      </c>
      <c r="U51" s="7" t="s">
        <v>2440</v>
      </c>
      <c r="V51" s="7" t="s">
        <v>2441</v>
      </c>
      <c r="W51" s="7" t="s">
        <v>2442</v>
      </c>
    </row>
    <row r="52" customFormat="false" ht="158.2" hidden="false" customHeight="false" outlineLevel="0" collapsed="false">
      <c r="A52" s="7" t="s">
        <v>2389</v>
      </c>
      <c r="B52" s="7" t="s">
        <v>2530</v>
      </c>
      <c r="C52" s="7" t="s">
        <v>2203</v>
      </c>
      <c r="D52" s="7" t="s">
        <v>1287</v>
      </c>
      <c r="E52" s="7" t="s">
        <v>2579</v>
      </c>
      <c r="F52" s="7" t="s">
        <v>2385</v>
      </c>
      <c r="G52" s="7" t="s">
        <v>2386</v>
      </c>
      <c r="H52" s="7" t="s">
        <v>2387</v>
      </c>
      <c r="I52" s="7" t="s">
        <v>2270</v>
      </c>
      <c r="J52" s="7" t="s">
        <v>627</v>
      </c>
      <c r="K52" s="7" t="s">
        <v>2495</v>
      </c>
      <c r="L52" s="7" t="s">
        <v>2433</v>
      </c>
      <c r="M52" s="7" t="s">
        <v>2434</v>
      </c>
      <c r="N52" s="7" t="s">
        <v>2497</v>
      </c>
      <c r="O52" s="7" t="s">
        <v>2534</v>
      </c>
      <c r="P52" s="7" t="s">
        <v>2388</v>
      </c>
      <c r="Q52" s="7"/>
      <c r="R52" s="7"/>
      <c r="S52" s="7" t="s">
        <v>2438</v>
      </c>
      <c r="T52" s="7" t="s">
        <v>2439</v>
      </c>
      <c r="U52" s="7" t="s">
        <v>2440</v>
      </c>
      <c r="V52" s="7" t="s">
        <v>2441</v>
      </c>
      <c r="W52" s="7" t="s">
        <v>2442</v>
      </c>
    </row>
    <row r="53" customFormat="false" ht="158.2" hidden="false" customHeight="false" outlineLevel="0" collapsed="false">
      <c r="A53" s="7" t="s">
        <v>2395</v>
      </c>
      <c r="B53" s="7" t="s">
        <v>2530</v>
      </c>
      <c r="C53" s="7" t="s">
        <v>2203</v>
      </c>
      <c r="D53" s="7" t="s">
        <v>2390</v>
      </c>
      <c r="E53" s="7" t="s">
        <v>2580</v>
      </c>
      <c r="F53" s="7" t="s">
        <v>2391</v>
      </c>
      <c r="G53" s="7" t="s">
        <v>2392</v>
      </c>
      <c r="H53" s="7" t="s">
        <v>2393</v>
      </c>
      <c r="I53" s="7" t="s">
        <v>2270</v>
      </c>
      <c r="J53" s="7" t="s">
        <v>627</v>
      </c>
      <c r="K53" s="7" t="s">
        <v>2495</v>
      </c>
      <c r="L53" s="7" t="s">
        <v>2433</v>
      </c>
      <c r="M53" s="7" t="s">
        <v>2434</v>
      </c>
      <c r="N53" s="7" t="s">
        <v>2497</v>
      </c>
      <c r="O53" s="7" t="s">
        <v>2534</v>
      </c>
      <c r="P53" s="7" t="s">
        <v>2394</v>
      </c>
      <c r="Q53" s="7"/>
      <c r="R53" s="7"/>
      <c r="S53" s="7" t="s">
        <v>2438</v>
      </c>
      <c r="T53" s="7" t="s">
        <v>2439</v>
      </c>
      <c r="U53" s="7" t="s">
        <v>2440</v>
      </c>
      <c r="V53" s="7" t="s">
        <v>2441</v>
      </c>
      <c r="W53" s="7" t="s">
        <v>2442</v>
      </c>
    </row>
    <row r="54" customFormat="false" ht="158.2" hidden="false" customHeight="false" outlineLevel="0" collapsed="false">
      <c r="A54" s="7" t="s">
        <v>2402</v>
      </c>
      <c r="B54" s="7" t="s">
        <v>2530</v>
      </c>
      <c r="C54" s="7" t="s">
        <v>2203</v>
      </c>
      <c r="D54" s="7" t="s">
        <v>2396</v>
      </c>
      <c r="E54" s="7" t="s">
        <v>2581</v>
      </c>
      <c r="F54" s="7" t="s">
        <v>2397</v>
      </c>
      <c r="G54" s="7" t="s">
        <v>2399</v>
      </c>
      <c r="H54" s="7" t="s">
        <v>2400</v>
      </c>
      <c r="I54" s="7" t="s">
        <v>2270</v>
      </c>
      <c r="J54" s="7" t="s">
        <v>250</v>
      </c>
      <c r="K54" s="7" t="s">
        <v>2452</v>
      </c>
      <c r="L54" s="7" t="s">
        <v>2433</v>
      </c>
      <c r="M54" s="7" t="s">
        <v>2434</v>
      </c>
      <c r="N54" s="7" t="s">
        <v>2455</v>
      </c>
      <c r="O54" s="7" t="s">
        <v>2534</v>
      </c>
      <c r="P54" s="7" t="s">
        <v>2401</v>
      </c>
      <c r="Q54" s="7"/>
      <c r="R54" s="7"/>
      <c r="S54" s="7" t="s">
        <v>2438</v>
      </c>
      <c r="T54" s="7" t="s">
        <v>2439</v>
      </c>
      <c r="U54" s="7" t="s">
        <v>2440</v>
      </c>
      <c r="V54" s="7" t="s">
        <v>2441</v>
      </c>
      <c r="W54" s="7" t="s">
        <v>2442</v>
      </c>
    </row>
    <row r="55" customFormat="false" ht="158.2" hidden="false" customHeight="false" outlineLevel="0" collapsed="false">
      <c r="A55" s="7" t="s">
        <v>2408</v>
      </c>
      <c r="B55" s="7" t="s">
        <v>2530</v>
      </c>
      <c r="C55" s="7" t="s">
        <v>2203</v>
      </c>
      <c r="D55" s="7" t="s">
        <v>2403</v>
      </c>
      <c r="E55" s="7" t="s">
        <v>2582</v>
      </c>
      <c r="F55" s="7" t="s">
        <v>2404</v>
      </c>
      <c r="G55" s="7" t="s">
        <v>2405</v>
      </c>
      <c r="H55" s="7" t="s">
        <v>2406</v>
      </c>
      <c r="I55" s="7" t="s">
        <v>2270</v>
      </c>
      <c r="J55" s="7" t="s">
        <v>250</v>
      </c>
      <c r="K55" s="7" t="s">
        <v>2452</v>
      </c>
      <c r="L55" s="7" t="s">
        <v>2433</v>
      </c>
      <c r="M55" s="7" t="s">
        <v>2434</v>
      </c>
      <c r="N55" s="7" t="s">
        <v>2455</v>
      </c>
      <c r="O55" s="7" t="s">
        <v>2534</v>
      </c>
      <c r="P55" s="7" t="s">
        <v>2407</v>
      </c>
      <c r="Q55" s="7"/>
      <c r="R55" s="7"/>
      <c r="S55" s="7" t="s">
        <v>2438</v>
      </c>
      <c r="T55" s="7" t="s">
        <v>2439</v>
      </c>
      <c r="U55" s="7" t="s">
        <v>2440</v>
      </c>
      <c r="V55" s="7" t="s">
        <v>2441</v>
      </c>
      <c r="W55" s="7" t="s">
        <v>2442</v>
      </c>
    </row>
  </sheetData>
  <autoFilter ref="A4:W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8"/>
    <col collapsed="false" customWidth="true" hidden="false" outlineLevel="0" max="3" min="3" style="0" width="28"/>
    <col collapsed="false" customWidth="true" hidden="false" outlineLevel="0" max="4" min="4" style="0" width="10"/>
    <col collapsed="false" customWidth="true" hidden="false" outlineLevel="0" max="5" min="5" style="0" width="40"/>
    <col collapsed="false" customWidth="true" hidden="false" outlineLevel="0" max="7" min="6" style="0" width="70"/>
    <col collapsed="false" customWidth="true" hidden="false" outlineLevel="0" max="8" min="8" style="0" width="14"/>
    <col collapsed="false" customWidth="true" hidden="false" outlineLevel="0" max="9" min="9" style="0" width="30"/>
  </cols>
  <sheetData>
    <row r="1" customFormat="false" ht="17.35" hidden="false" customHeight="false" outlineLevel="0" collapsed="false">
      <c r="A1" s="1" t="s">
        <v>2583</v>
      </c>
    </row>
    <row r="2" customFormat="false" ht="15" hidden="false" customHeight="false" outlineLevel="0" collapsed="false">
      <c r="A2" s="2" t="s">
        <v>2584</v>
      </c>
    </row>
    <row r="4" customFormat="false" ht="31.5" hidden="false" customHeight="true" outlineLevel="0" collapsed="false">
      <c r="A4" s="6" t="s">
        <v>118</v>
      </c>
      <c r="B4" s="6" t="s">
        <v>2585</v>
      </c>
      <c r="C4" s="6" t="s">
        <v>2586</v>
      </c>
      <c r="D4" s="6" t="s">
        <v>2587</v>
      </c>
      <c r="E4" s="6" t="s">
        <v>2588</v>
      </c>
      <c r="F4" s="6" t="s">
        <v>2589</v>
      </c>
      <c r="G4" s="6" t="s">
        <v>2590</v>
      </c>
      <c r="H4" s="6" t="s">
        <v>2591</v>
      </c>
      <c r="I4" s="6" t="s">
        <v>2592</v>
      </c>
    </row>
    <row r="5" customFormat="false" ht="46.25" hidden="false" customHeight="false" outlineLevel="0" collapsed="false">
      <c r="A5" s="7" t="s">
        <v>2593</v>
      </c>
      <c r="B5" s="7" t="s">
        <v>2594</v>
      </c>
      <c r="C5" s="7" t="s">
        <v>2595</v>
      </c>
      <c r="D5" s="7" t="n">
        <v>4</v>
      </c>
      <c r="E5" s="7" t="s">
        <v>2596</v>
      </c>
      <c r="F5" s="7" t="s">
        <v>2597</v>
      </c>
      <c r="G5" s="7" t="s">
        <v>2598</v>
      </c>
      <c r="H5" s="13" t="s">
        <v>2599</v>
      </c>
      <c r="I5" s="13"/>
    </row>
    <row r="6" customFormat="false" ht="113.4" hidden="false" customHeight="false" outlineLevel="0" collapsed="false">
      <c r="A6" s="7" t="s">
        <v>2600</v>
      </c>
      <c r="B6" s="7" t="s">
        <v>2601</v>
      </c>
      <c r="C6" s="7" t="s">
        <v>2595</v>
      </c>
      <c r="D6" s="7" t="n">
        <v>10</v>
      </c>
      <c r="E6" s="7" t="s">
        <v>2602</v>
      </c>
      <c r="F6" s="7" t="s">
        <v>2603</v>
      </c>
      <c r="G6" s="7" t="s">
        <v>2604</v>
      </c>
      <c r="H6" s="13" t="s">
        <v>2599</v>
      </c>
      <c r="I6" s="13"/>
    </row>
    <row r="7" customFormat="false" ht="113.4" hidden="false" customHeight="false" outlineLevel="0" collapsed="false">
      <c r="A7" s="7" t="s">
        <v>2605</v>
      </c>
      <c r="B7" s="7" t="s">
        <v>2606</v>
      </c>
      <c r="C7" s="7" t="s">
        <v>2595</v>
      </c>
      <c r="D7" s="7" t="n">
        <v>27</v>
      </c>
      <c r="E7" s="7" t="s">
        <v>2607</v>
      </c>
      <c r="F7" s="7" t="s">
        <v>2608</v>
      </c>
      <c r="G7" s="7" t="s">
        <v>2609</v>
      </c>
      <c r="H7" s="13" t="s">
        <v>2599</v>
      </c>
      <c r="I7" s="13"/>
    </row>
    <row r="8" customFormat="false" ht="23.85" hidden="false" customHeight="false" outlineLevel="0" collapsed="false">
      <c r="A8" s="7" t="s">
        <v>2610</v>
      </c>
      <c r="B8" s="7" t="s">
        <v>2611</v>
      </c>
      <c r="C8" s="7" t="s">
        <v>2595</v>
      </c>
      <c r="D8" s="7" t="n">
        <v>1</v>
      </c>
      <c r="E8" s="7" t="s">
        <v>392</v>
      </c>
      <c r="F8" s="7" t="s">
        <v>2612</v>
      </c>
      <c r="G8" s="7" t="s">
        <v>2613</v>
      </c>
      <c r="H8" s="13" t="s">
        <v>2599</v>
      </c>
      <c r="I8" s="13"/>
    </row>
    <row r="9" customFormat="false" ht="23.85" hidden="false" customHeight="false" outlineLevel="0" collapsed="false">
      <c r="A9" s="7" t="s">
        <v>2614</v>
      </c>
      <c r="B9" s="7" t="s">
        <v>2615</v>
      </c>
      <c r="C9" s="7" t="s">
        <v>2616</v>
      </c>
      <c r="D9" s="7" t="n">
        <v>0</v>
      </c>
      <c r="E9" s="7"/>
      <c r="F9" s="7"/>
      <c r="G9" s="7" t="s">
        <v>2617</v>
      </c>
      <c r="H9" s="13" t="s">
        <v>2599</v>
      </c>
      <c r="I9" s="13"/>
    </row>
    <row r="10" customFormat="false" ht="23.85" hidden="false" customHeight="false" outlineLevel="0" collapsed="false">
      <c r="A10" s="7" t="s">
        <v>2618</v>
      </c>
      <c r="B10" s="7" t="s">
        <v>2619</v>
      </c>
      <c r="C10" s="7" t="s">
        <v>2616</v>
      </c>
      <c r="D10" s="7" t="n">
        <v>0</v>
      </c>
      <c r="E10" s="7"/>
      <c r="F10" s="7"/>
      <c r="G10" s="7" t="s">
        <v>2620</v>
      </c>
      <c r="H10" s="13" t="s">
        <v>2599</v>
      </c>
      <c r="I10" s="13"/>
    </row>
    <row r="11" customFormat="false" ht="23.85" hidden="false" customHeight="false" outlineLevel="0" collapsed="false">
      <c r="A11" s="7" t="s">
        <v>2621</v>
      </c>
      <c r="B11" s="7" t="s">
        <v>2622</v>
      </c>
      <c r="C11" s="7" t="s">
        <v>2616</v>
      </c>
      <c r="D11" s="7" t="n">
        <v>0</v>
      </c>
      <c r="E11" s="7"/>
      <c r="F11" s="7"/>
      <c r="G11" s="7" t="s">
        <v>2623</v>
      </c>
      <c r="H11" s="13" t="s">
        <v>2599</v>
      </c>
      <c r="I11" s="13"/>
    </row>
    <row r="12" customFormat="false" ht="23.85" hidden="false" customHeight="false" outlineLevel="0" collapsed="false">
      <c r="A12" s="7" t="s">
        <v>2624</v>
      </c>
      <c r="B12" s="7" t="s">
        <v>2625</v>
      </c>
      <c r="C12" s="7" t="s">
        <v>2616</v>
      </c>
      <c r="D12" s="7" t="n">
        <v>0</v>
      </c>
      <c r="E12" s="7"/>
      <c r="F12" s="7"/>
      <c r="G12" s="7" t="s">
        <v>2626</v>
      </c>
      <c r="H12" s="13" t="s">
        <v>2599</v>
      </c>
      <c r="I12" s="13"/>
    </row>
    <row r="13" customFormat="false" ht="23.85" hidden="false" customHeight="false" outlineLevel="0" collapsed="false">
      <c r="A13" s="7" t="s">
        <v>2627</v>
      </c>
      <c r="B13" s="7" t="s">
        <v>2628</v>
      </c>
      <c r="C13" s="7" t="s">
        <v>2616</v>
      </c>
      <c r="D13" s="7" t="n">
        <v>0</v>
      </c>
      <c r="E13" s="7"/>
      <c r="F13" s="7"/>
      <c r="G13" s="7" t="s">
        <v>2629</v>
      </c>
      <c r="H13" s="13" t="s">
        <v>2599</v>
      </c>
      <c r="I13" s="13"/>
    </row>
    <row r="14" customFormat="false" ht="35.05" hidden="false" customHeight="false" outlineLevel="0" collapsed="false">
      <c r="A14" s="7" t="s">
        <v>2630</v>
      </c>
      <c r="B14" s="7" t="s">
        <v>2631</v>
      </c>
      <c r="C14" s="7" t="s">
        <v>2595</v>
      </c>
      <c r="D14" s="7" t="n">
        <v>1</v>
      </c>
      <c r="E14" s="7" t="s">
        <v>1228</v>
      </c>
      <c r="F14" s="7" t="s">
        <v>2632</v>
      </c>
      <c r="G14" s="7" t="s">
        <v>2633</v>
      </c>
      <c r="H14" s="13" t="s">
        <v>2599</v>
      </c>
      <c r="I14" s="13"/>
    </row>
    <row r="15" customFormat="false" ht="23.85" hidden="false" customHeight="false" outlineLevel="0" collapsed="false">
      <c r="A15" s="7" t="s">
        <v>2634</v>
      </c>
      <c r="B15" s="7" t="s">
        <v>2635</v>
      </c>
      <c r="C15" s="7" t="s">
        <v>2616</v>
      </c>
      <c r="D15" s="7" t="n">
        <v>0</v>
      </c>
      <c r="E15" s="7"/>
      <c r="F15" s="7"/>
      <c r="G15" s="7" t="s">
        <v>2636</v>
      </c>
      <c r="H15" s="13" t="s">
        <v>2599</v>
      </c>
      <c r="I15" s="13"/>
    </row>
    <row r="16" customFormat="false" ht="46.25" hidden="false" customHeight="false" outlineLevel="0" collapsed="false">
      <c r="A16" s="7" t="s">
        <v>2637</v>
      </c>
      <c r="B16" s="7" t="s">
        <v>2638</v>
      </c>
      <c r="C16" s="7" t="s">
        <v>2595</v>
      </c>
      <c r="D16" s="7" t="n">
        <v>1</v>
      </c>
      <c r="E16" s="7" t="s">
        <v>290</v>
      </c>
      <c r="F16" s="7" t="s">
        <v>2639</v>
      </c>
      <c r="G16" s="7" t="s">
        <v>2640</v>
      </c>
      <c r="H16" s="13" t="s">
        <v>2599</v>
      </c>
      <c r="I16" s="13"/>
    </row>
    <row r="18" customFormat="false" ht="15" hidden="false" customHeight="false" outlineLevel="0" collapsed="false">
      <c r="B18" s="11" t="s">
        <v>2641</v>
      </c>
    </row>
    <row r="19" customFormat="false" ht="15" hidden="false" customHeight="false" outlineLevel="0" collapsed="false">
      <c r="B19" s="5" t="s">
        <v>2642</v>
      </c>
      <c r="C19" s="5" t="n">
        <f aca="false">COUNTIF($H$5:$H$16,B19)</f>
        <v>0</v>
      </c>
    </row>
    <row r="20" customFormat="false" ht="15" hidden="false" customHeight="false" outlineLevel="0" collapsed="false">
      <c r="B20" s="5" t="s">
        <v>2643</v>
      </c>
      <c r="C20" s="5" t="n">
        <f aca="false">COUNTIF($H$5:$H$16,B20)</f>
        <v>0</v>
      </c>
    </row>
    <row r="21" customFormat="false" ht="15" hidden="false" customHeight="false" outlineLevel="0" collapsed="false">
      <c r="B21" s="5" t="s">
        <v>2644</v>
      </c>
      <c r="C21" s="5" t="n">
        <f aca="false">COUNTIF($H$5:$H$16,B21)</f>
        <v>0</v>
      </c>
    </row>
    <row r="22" customFormat="false" ht="15" hidden="false" customHeight="false" outlineLevel="0" collapsed="false">
      <c r="B22" s="5" t="s">
        <v>2599</v>
      </c>
      <c r="C22" s="5" t="n">
        <f aca="false">COUNTIF($H$5:$H$16,B22)</f>
        <v>12</v>
      </c>
    </row>
    <row r="23" customFormat="false" ht="15" hidden="false" customHeight="false" outlineLevel="0" collapsed="false">
      <c r="B23" s="5" t="s">
        <v>2645</v>
      </c>
      <c r="C23" s="5" t="n">
        <f aca="false">COUNTIF($H$5:$H$16,B23)</f>
        <v>0</v>
      </c>
    </row>
  </sheetData>
  <autoFilter ref="A4:I16"/>
  <dataValidations count="1">
    <dataValidation allowBlank="false" errorStyle="stop" operator="between" showDropDown="false" showErrorMessage="false" showInputMessage="false" sqref="H5:H16" type="list">
      <formula1>"A verificar,Atende,Parcial,Falta,Não se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2"/>
    <col collapsed="false" customWidth="true" hidden="false" outlineLevel="0" max="4" min="4" style="0" width="30"/>
    <col collapsed="false" customWidth="true" hidden="false" outlineLevel="0" max="5" min="5" style="0" width="80"/>
    <col collapsed="false" customWidth="true" hidden="false" outlineLevel="0" max="6" min="6" style="0" width="9"/>
    <col collapsed="false" customWidth="true" hidden="false" outlineLevel="0" max="7" min="7" style="0" width="14"/>
  </cols>
  <sheetData>
    <row r="1" customFormat="false" ht="17.35" hidden="false" customHeight="false" outlineLevel="0" collapsed="false">
      <c r="A1" s="1" t="s">
        <v>2646</v>
      </c>
    </row>
    <row r="2" customFormat="false" ht="15" hidden="false" customHeight="false" outlineLevel="0" collapsed="false">
      <c r="A2" s="2" t="s">
        <v>2647</v>
      </c>
    </row>
    <row r="4" customFormat="false" ht="31.5" hidden="false" customHeight="true" outlineLevel="0" collapsed="false">
      <c r="A4" s="6" t="s">
        <v>118</v>
      </c>
      <c r="B4" s="6" t="s">
        <v>649</v>
      </c>
      <c r="C4" s="6" t="s">
        <v>539</v>
      </c>
      <c r="D4" s="6" t="s">
        <v>540</v>
      </c>
      <c r="E4" s="6" t="s">
        <v>120</v>
      </c>
      <c r="F4" s="6" t="s">
        <v>541</v>
      </c>
      <c r="G4" s="6" t="s">
        <v>546</v>
      </c>
    </row>
    <row r="5" customFormat="false" ht="46.25" hidden="false" customHeight="false" outlineLevel="0" collapsed="false">
      <c r="A5" s="7" t="s">
        <v>766</v>
      </c>
      <c r="B5" s="7" t="s">
        <v>990</v>
      </c>
      <c r="C5" s="7" t="s">
        <v>1029</v>
      </c>
      <c r="D5" s="7" t="s">
        <v>584</v>
      </c>
      <c r="E5" s="7" t="s">
        <v>1030</v>
      </c>
      <c r="F5" s="8" t="n">
        <v>0.3</v>
      </c>
      <c r="G5" s="7" t="s">
        <v>1034</v>
      </c>
    </row>
    <row r="6" customFormat="false" ht="23.85" hidden="false" customHeight="false" outlineLevel="0" collapsed="false">
      <c r="A6" s="7" t="s">
        <v>637</v>
      </c>
      <c r="B6" s="7" t="s">
        <v>638</v>
      </c>
      <c r="C6" s="7" t="s">
        <v>551</v>
      </c>
      <c r="D6" s="7" t="s">
        <v>584</v>
      </c>
      <c r="E6" s="7" t="s">
        <v>639</v>
      </c>
      <c r="F6" s="8" t="n">
        <v>0.1</v>
      </c>
      <c r="G6" s="7" t="s">
        <v>644</v>
      </c>
    </row>
    <row r="7" customFormat="false" ht="35.05" hidden="false" customHeight="false" outlineLevel="0" collapsed="false">
      <c r="A7" s="7" t="s">
        <v>770</v>
      </c>
      <c r="B7" s="7" t="s">
        <v>991</v>
      </c>
      <c r="C7" s="7" t="s">
        <v>1029</v>
      </c>
      <c r="D7" s="7" t="s">
        <v>584</v>
      </c>
      <c r="E7" s="7" t="s">
        <v>1136</v>
      </c>
      <c r="F7" s="8" t="n">
        <v>0.2</v>
      </c>
      <c r="G7" s="7" t="s">
        <v>1034</v>
      </c>
    </row>
    <row r="8" customFormat="false" ht="35.05" hidden="false" customHeight="false" outlineLevel="0" collapsed="false">
      <c r="A8" s="7" t="s">
        <v>781</v>
      </c>
      <c r="B8" s="7" t="s">
        <v>993</v>
      </c>
      <c r="C8" s="7" t="s">
        <v>1029</v>
      </c>
      <c r="D8" s="7" t="s">
        <v>584</v>
      </c>
      <c r="E8" s="7" t="s">
        <v>1147</v>
      </c>
      <c r="F8" s="8" t="n">
        <v>0.3</v>
      </c>
      <c r="G8" s="7" t="s">
        <v>1034</v>
      </c>
    </row>
    <row r="9" customFormat="false" ht="35.05" hidden="false" customHeight="false" outlineLevel="0" collapsed="false">
      <c r="A9" s="7" t="s">
        <v>1588</v>
      </c>
      <c r="B9" s="7" t="s">
        <v>1589</v>
      </c>
      <c r="C9" s="7" t="s">
        <v>1349</v>
      </c>
      <c r="D9" s="7" t="s">
        <v>584</v>
      </c>
      <c r="E9" s="7" t="s">
        <v>1590</v>
      </c>
      <c r="F9" s="8" t="n">
        <v>0.4</v>
      </c>
      <c r="G9" s="7" t="s">
        <v>1034</v>
      </c>
    </row>
    <row r="10" customFormat="false" ht="35.05" hidden="false" customHeight="false" outlineLevel="0" collapsed="false">
      <c r="A10" s="7" t="s">
        <v>1611</v>
      </c>
      <c r="B10" s="7" t="s">
        <v>1612</v>
      </c>
      <c r="C10" s="7" t="s">
        <v>1349</v>
      </c>
      <c r="D10" s="7" t="s">
        <v>584</v>
      </c>
      <c r="E10" s="7" t="s">
        <v>1613</v>
      </c>
      <c r="F10" s="8" t="n">
        <v>0.1</v>
      </c>
      <c r="G10" s="7" t="s">
        <v>1034</v>
      </c>
    </row>
    <row r="11" customFormat="false" ht="46.25" hidden="false" customHeight="false" outlineLevel="0" collapsed="false">
      <c r="A11" s="7" t="s">
        <v>1616</v>
      </c>
      <c r="B11" s="7" t="s">
        <v>1617</v>
      </c>
      <c r="C11" s="7" t="s">
        <v>1349</v>
      </c>
      <c r="D11" s="7" t="s">
        <v>584</v>
      </c>
      <c r="E11" s="7" t="s">
        <v>1618</v>
      </c>
      <c r="F11" s="8" t="n">
        <v>0.1</v>
      </c>
      <c r="G11" s="7" t="s">
        <v>1034</v>
      </c>
    </row>
    <row r="12" customFormat="false" ht="46.25" hidden="false" customHeight="false" outlineLevel="0" collapsed="false">
      <c r="A12" s="7" t="s">
        <v>1621</v>
      </c>
      <c r="B12" s="7" t="s">
        <v>1622</v>
      </c>
      <c r="C12" s="7" t="s">
        <v>1349</v>
      </c>
      <c r="D12" s="7" t="s">
        <v>584</v>
      </c>
      <c r="E12" s="7" t="s">
        <v>1623</v>
      </c>
      <c r="F12" s="8" t="n">
        <v>0.5</v>
      </c>
      <c r="G12" s="7" t="s">
        <v>1034</v>
      </c>
    </row>
    <row r="13" customFormat="false" ht="35.05" hidden="false" customHeight="false" outlineLevel="0" collapsed="false">
      <c r="A13" s="7" t="s">
        <v>1626</v>
      </c>
      <c r="B13" s="7" t="s">
        <v>1627</v>
      </c>
      <c r="C13" s="7" t="s">
        <v>1349</v>
      </c>
      <c r="D13" s="7" t="s">
        <v>584</v>
      </c>
      <c r="E13" s="7" t="s">
        <v>1628</v>
      </c>
      <c r="F13" s="8" t="n">
        <v>0.2</v>
      </c>
      <c r="G13" s="7" t="s">
        <v>1034</v>
      </c>
    </row>
    <row r="14" customFormat="false" ht="35.05" hidden="false" customHeight="false" outlineLevel="0" collapsed="false">
      <c r="A14" s="7" t="s">
        <v>1631</v>
      </c>
      <c r="B14" s="7" t="s">
        <v>1632</v>
      </c>
      <c r="C14" s="7" t="s">
        <v>1349</v>
      </c>
      <c r="D14" s="7" t="s">
        <v>584</v>
      </c>
      <c r="E14" s="7" t="s">
        <v>1633</v>
      </c>
      <c r="F14" s="8" t="n">
        <v>0.3</v>
      </c>
      <c r="G14" s="7" t="s">
        <v>1034</v>
      </c>
    </row>
    <row r="15" customFormat="false" ht="35.05" hidden="false" customHeight="false" outlineLevel="0" collapsed="false">
      <c r="A15" s="7" t="s">
        <v>1636</v>
      </c>
      <c r="B15" s="7" t="s">
        <v>1637</v>
      </c>
      <c r="C15" s="7" t="s">
        <v>1349</v>
      </c>
      <c r="D15" s="7" t="s">
        <v>584</v>
      </c>
      <c r="E15" s="7" t="s">
        <v>1638</v>
      </c>
      <c r="F15" s="8" t="n">
        <v>0.5</v>
      </c>
      <c r="G15" s="7" t="s">
        <v>1034</v>
      </c>
    </row>
    <row r="16" customFormat="false" ht="35.05" hidden="false" customHeight="false" outlineLevel="0" collapsed="false">
      <c r="A16" s="7" t="s">
        <v>1641</v>
      </c>
      <c r="B16" s="7" t="s">
        <v>1642</v>
      </c>
      <c r="C16" s="7" t="s">
        <v>1349</v>
      </c>
      <c r="D16" s="7" t="s">
        <v>584</v>
      </c>
      <c r="E16" s="7" t="s">
        <v>1643</v>
      </c>
      <c r="F16" s="8" t="n">
        <v>0.1</v>
      </c>
      <c r="G16" s="7" t="s">
        <v>1034</v>
      </c>
    </row>
    <row r="17" customFormat="false" ht="23.85" hidden="false" customHeight="false" outlineLevel="0" collapsed="false">
      <c r="A17" s="7" t="s">
        <v>1646</v>
      </c>
      <c r="B17" s="7" t="s">
        <v>1647</v>
      </c>
      <c r="C17" s="7" t="s">
        <v>1349</v>
      </c>
      <c r="D17" s="7" t="s">
        <v>584</v>
      </c>
      <c r="E17" s="7" t="s">
        <v>1648</v>
      </c>
      <c r="F17" s="8" t="n">
        <v>0.5</v>
      </c>
      <c r="G17" s="7" t="s">
        <v>1034</v>
      </c>
    </row>
    <row r="18" customFormat="false" ht="35.05" hidden="false" customHeight="false" outlineLevel="0" collapsed="false">
      <c r="A18" s="7" t="s">
        <v>1651</v>
      </c>
      <c r="B18" s="7" t="s">
        <v>1652</v>
      </c>
      <c r="C18" s="7" t="s">
        <v>1349</v>
      </c>
      <c r="D18" s="7" t="s">
        <v>584</v>
      </c>
      <c r="E18" s="7" t="s">
        <v>1653</v>
      </c>
      <c r="F18" s="8" t="n">
        <v>0.3</v>
      </c>
      <c r="G18" s="7" t="s">
        <v>1034</v>
      </c>
    </row>
    <row r="19" customFormat="false" ht="46.25" hidden="false" customHeight="false" outlineLevel="0" collapsed="false">
      <c r="A19" s="7" t="s">
        <v>1656</v>
      </c>
      <c r="B19" s="7" t="s">
        <v>1657</v>
      </c>
      <c r="C19" s="7" t="s">
        <v>1349</v>
      </c>
      <c r="D19" s="7" t="s">
        <v>584</v>
      </c>
      <c r="E19" s="7" t="s">
        <v>1658</v>
      </c>
      <c r="F19" s="8" t="n">
        <v>0.5</v>
      </c>
      <c r="G19" s="7" t="s">
        <v>1034</v>
      </c>
    </row>
    <row r="20" customFormat="false" ht="46.25" hidden="false" customHeight="false" outlineLevel="0" collapsed="false">
      <c r="A20" s="7" t="s">
        <v>1661</v>
      </c>
      <c r="B20" s="7" t="s">
        <v>1662</v>
      </c>
      <c r="C20" s="7" t="s">
        <v>1349</v>
      </c>
      <c r="D20" s="7" t="s">
        <v>584</v>
      </c>
      <c r="E20" s="7" t="s">
        <v>1663</v>
      </c>
      <c r="F20" s="8" t="n">
        <v>0.1</v>
      </c>
      <c r="G20" s="7" t="s">
        <v>1034</v>
      </c>
    </row>
    <row r="21" customFormat="false" ht="35.05" hidden="false" customHeight="false" outlineLevel="0" collapsed="false">
      <c r="A21" s="7" t="s">
        <v>1666</v>
      </c>
      <c r="B21" s="7" t="s">
        <v>1667</v>
      </c>
      <c r="C21" s="7" t="s">
        <v>1349</v>
      </c>
      <c r="D21" s="7" t="s">
        <v>584</v>
      </c>
      <c r="E21" s="7" t="s">
        <v>1668</v>
      </c>
      <c r="F21" s="8" t="n">
        <v>0.1</v>
      </c>
      <c r="G21" s="7" t="s">
        <v>1034</v>
      </c>
    </row>
    <row r="22" customFormat="false" ht="35.05" hidden="false" customHeight="false" outlineLevel="0" collapsed="false">
      <c r="A22" s="7" t="s">
        <v>1671</v>
      </c>
      <c r="B22" s="7" t="s">
        <v>1672</v>
      </c>
      <c r="C22" s="7" t="s">
        <v>1349</v>
      </c>
      <c r="D22" s="7" t="s">
        <v>584</v>
      </c>
      <c r="E22" s="7" t="s">
        <v>1673</v>
      </c>
      <c r="F22" s="8" t="n">
        <v>0.1</v>
      </c>
      <c r="G22" s="7" t="s">
        <v>1034</v>
      </c>
    </row>
    <row r="23" customFormat="false" ht="35.05" hidden="false" customHeight="false" outlineLevel="0" collapsed="false">
      <c r="A23" s="7" t="s">
        <v>1676</v>
      </c>
      <c r="B23" s="7" t="s">
        <v>1677</v>
      </c>
      <c r="C23" s="7" t="s">
        <v>1349</v>
      </c>
      <c r="D23" s="7" t="s">
        <v>584</v>
      </c>
      <c r="E23" s="7" t="s">
        <v>1678</v>
      </c>
      <c r="F23" s="8" t="n">
        <v>3</v>
      </c>
      <c r="G23" s="7" t="s">
        <v>1034</v>
      </c>
    </row>
  </sheetData>
  <autoFilter ref="A4:G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K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22"/>
    <col collapsed="false" customWidth="true" hidden="false" outlineLevel="0" max="4" min="4" style="0" width="60"/>
    <col collapsed="false" customWidth="true" hidden="false" outlineLevel="0" max="5" min="5" style="0" width="14"/>
    <col collapsed="false" customWidth="true" hidden="false" outlineLevel="0" max="6" min="6" style="0" width="24"/>
    <col collapsed="false" customWidth="true" hidden="false" outlineLevel="0" max="7" min="7" style="0" width="16"/>
    <col collapsed="false" customWidth="true" hidden="false" outlineLevel="0" max="9" min="8" style="0" width="55"/>
    <col collapsed="false" customWidth="true" hidden="false" outlineLevel="0" max="11" min="10" style="0" width="40"/>
  </cols>
  <sheetData>
    <row r="1" customFormat="false" ht="17.35" hidden="false" customHeight="false" outlineLevel="0" collapsed="false">
      <c r="A1" s="1" t="s">
        <v>2648</v>
      </c>
    </row>
    <row r="2" customFormat="false" ht="15" hidden="false" customHeight="false" outlineLevel="0" collapsed="false">
      <c r="A2" s="2" t="s">
        <v>2649</v>
      </c>
    </row>
    <row r="4" customFormat="false" ht="31.5" hidden="false" customHeight="true" outlineLevel="0" collapsed="false">
      <c r="A4" s="6" t="s">
        <v>2650</v>
      </c>
      <c r="B4" s="6" t="s">
        <v>2651</v>
      </c>
      <c r="C4" s="6" t="s">
        <v>2414</v>
      </c>
      <c r="D4" s="6" t="s">
        <v>2652</v>
      </c>
      <c r="E4" s="6" t="s">
        <v>2653</v>
      </c>
      <c r="F4" s="6" t="s">
        <v>2654</v>
      </c>
      <c r="G4" s="6" t="s">
        <v>2655</v>
      </c>
      <c r="H4" s="6" t="s">
        <v>2656</v>
      </c>
      <c r="I4" s="6" t="s">
        <v>2657</v>
      </c>
      <c r="J4" s="6" t="s">
        <v>2658</v>
      </c>
      <c r="K4" s="6" t="s">
        <v>2659</v>
      </c>
    </row>
    <row r="5" customFormat="false" ht="35.05" hidden="false" customHeight="false" outlineLevel="0" collapsed="false">
      <c r="A5" s="7" t="s">
        <v>2660</v>
      </c>
      <c r="B5" s="7" t="s">
        <v>129</v>
      </c>
      <c r="C5" s="7" t="s">
        <v>130</v>
      </c>
      <c r="D5" s="7" t="s">
        <v>131</v>
      </c>
      <c r="E5" s="7" t="s">
        <v>2661</v>
      </c>
      <c r="F5" s="7" t="s">
        <v>1317</v>
      </c>
      <c r="G5" s="7" t="s">
        <v>1318</v>
      </c>
      <c r="H5" s="7" t="s">
        <v>2662</v>
      </c>
      <c r="I5" s="7" t="s">
        <v>2663</v>
      </c>
      <c r="J5" s="7" t="n">
        <v>62</v>
      </c>
      <c r="K5" s="7" t="n">
        <v>63</v>
      </c>
    </row>
    <row r="6" customFormat="false" ht="23.85" hidden="false" customHeight="false" outlineLevel="0" collapsed="false">
      <c r="A6" s="7" t="s">
        <v>2664</v>
      </c>
      <c r="B6" s="7" t="s">
        <v>138</v>
      </c>
      <c r="C6" s="7" t="s">
        <v>130</v>
      </c>
      <c r="D6" s="7" t="s">
        <v>139</v>
      </c>
      <c r="E6" s="7" t="s">
        <v>2665</v>
      </c>
      <c r="F6" s="7"/>
      <c r="G6" s="7"/>
      <c r="H6" s="7" t="s">
        <v>2666</v>
      </c>
      <c r="I6" s="7" t="s">
        <v>2667</v>
      </c>
      <c r="J6" s="7" t="n">
        <v>64</v>
      </c>
      <c r="K6" s="7" t="n">
        <v>63</v>
      </c>
    </row>
    <row r="7" customFormat="false" ht="35.05" hidden="false" customHeight="false" outlineLevel="0" collapsed="false">
      <c r="A7" s="7" t="s">
        <v>2668</v>
      </c>
      <c r="B7" s="7" t="s">
        <v>141</v>
      </c>
      <c r="C7" s="7" t="s">
        <v>130</v>
      </c>
      <c r="D7" s="7" t="s">
        <v>142</v>
      </c>
      <c r="E7" s="7" t="s">
        <v>2661</v>
      </c>
      <c r="F7" s="7" t="s">
        <v>1317</v>
      </c>
      <c r="G7" s="7" t="s">
        <v>1318</v>
      </c>
      <c r="H7" s="7" t="s">
        <v>2662</v>
      </c>
      <c r="I7" s="7" t="s">
        <v>2663</v>
      </c>
      <c r="J7" s="7" t="n">
        <v>62</v>
      </c>
      <c r="K7" s="7" t="n">
        <v>63</v>
      </c>
    </row>
    <row r="8" customFormat="false" ht="35.05" hidden="false" customHeight="false" outlineLevel="0" collapsed="false">
      <c r="A8" s="7" t="s">
        <v>2669</v>
      </c>
      <c r="B8" s="7" t="s">
        <v>145</v>
      </c>
      <c r="C8" s="7" t="s">
        <v>130</v>
      </c>
      <c r="D8" s="7" t="s">
        <v>146</v>
      </c>
      <c r="E8" s="7" t="s">
        <v>2661</v>
      </c>
      <c r="F8" s="7" t="s">
        <v>1317</v>
      </c>
      <c r="G8" s="7" t="s">
        <v>1318</v>
      </c>
      <c r="H8" s="7" t="s">
        <v>2662</v>
      </c>
      <c r="I8" s="7" t="s">
        <v>2663</v>
      </c>
      <c r="J8" s="7" t="n">
        <v>62</v>
      </c>
      <c r="K8" s="7" t="n">
        <v>63</v>
      </c>
    </row>
    <row r="9" customFormat="false" ht="23.85" hidden="false" customHeight="false" outlineLevel="0" collapsed="false">
      <c r="A9" s="7" t="s">
        <v>2670</v>
      </c>
      <c r="B9" s="7" t="s">
        <v>149</v>
      </c>
      <c r="C9" s="7" t="s">
        <v>130</v>
      </c>
      <c r="D9" s="7" t="s">
        <v>150</v>
      </c>
      <c r="E9" s="7" t="s">
        <v>2665</v>
      </c>
      <c r="F9" s="7"/>
      <c r="G9" s="7"/>
      <c r="H9" s="7" t="s">
        <v>2666</v>
      </c>
      <c r="I9" s="7" t="s">
        <v>2667</v>
      </c>
      <c r="J9" s="7" t="n">
        <v>64</v>
      </c>
      <c r="K9" s="7" t="n">
        <v>63</v>
      </c>
    </row>
    <row r="10" customFormat="false" ht="35.05" hidden="false" customHeight="false" outlineLevel="0" collapsed="false">
      <c r="A10" s="7" t="s">
        <v>2671</v>
      </c>
      <c r="B10" s="7" t="s">
        <v>155</v>
      </c>
      <c r="C10" s="7" t="s">
        <v>130</v>
      </c>
      <c r="D10" s="7" t="s">
        <v>156</v>
      </c>
      <c r="E10" s="7" t="s">
        <v>2661</v>
      </c>
      <c r="F10" s="7" t="s">
        <v>1317</v>
      </c>
      <c r="G10" s="7" t="s">
        <v>1318</v>
      </c>
      <c r="H10" s="7" t="s">
        <v>2662</v>
      </c>
      <c r="I10" s="7" t="s">
        <v>2663</v>
      </c>
      <c r="J10" s="7" t="n">
        <v>62</v>
      </c>
      <c r="K10" s="7" t="n">
        <v>63</v>
      </c>
    </row>
    <row r="11" customFormat="false" ht="23.85" hidden="false" customHeight="false" outlineLevel="0" collapsed="false">
      <c r="A11" s="7" t="s">
        <v>2672</v>
      </c>
      <c r="B11" s="7" t="s">
        <v>159</v>
      </c>
      <c r="C11" s="7" t="s">
        <v>130</v>
      </c>
      <c r="D11" s="7" t="s">
        <v>160</v>
      </c>
      <c r="E11" s="7" t="s">
        <v>2665</v>
      </c>
      <c r="F11" s="7"/>
      <c r="G11" s="7"/>
      <c r="H11" s="7" t="s">
        <v>2666</v>
      </c>
      <c r="I11" s="7" t="s">
        <v>2667</v>
      </c>
      <c r="J11" s="7" t="n">
        <v>64</v>
      </c>
      <c r="K11" s="7" t="n">
        <v>63</v>
      </c>
    </row>
    <row r="12" customFormat="false" ht="23.85" hidden="false" customHeight="false" outlineLevel="0" collapsed="false">
      <c r="A12" s="7" t="s">
        <v>2673</v>
      </c>
      <c r="B12" s="7" t="s">
        <v>163</v>
      </c>
      <c r="C12" s="7" t="s">
        <v>130</v>
      </c>
      <c r="D12" s="7" t="s">
        <v>164</v>
      </c>
      <c r="E12" s="7" t="s">
        <v>2665</v>
      </c>
      <c r="F12" s="7"/>
      <c r="G12" s="7"/>
      <c r="H12" s="7" t="s">
        <v>2666</v>
      </c>
      <c r="I12" s="7" t="s">
        <v>2667</v>
      </c>
      <c r="J12" s="7" t="n">
        <v>64</v>
      </c>
      <c r="K12" s="7" t="n">
        <v>63</v>
      </c>
    </row>
    <row r="13" customFormat="false" ht="23.85" hidden="false" customHeight="false" outlineLevel="0" collapsed="false">
      <c r="A13" s="7" t="s">
        <v>2674</v>
      </c>
      <c r="B13" s="7" t="s">
        <v>166</v>
      </c>
      <c r="C13" s="7" t="s">
        <v>130</v>
      </c>
      <c r="D13" s="7" t="s">
        <v>167</v>
      </c>
      <c r="E13" s="7" t="s">
        <v>2665</v>
      </c>
      <c r="F13" s="7"/>
      <c r="G13" s="7"/>
      <c r="H13" s="7" t="s">
        <v>2666</v>
      </c>
      <c r="I13" s="7" t="s">
        <v>2667</v>
      </c>
      <c r="J13" s="7" t="n">
        <v>64</v>
      </c>
      <c r="K13" s="7" t="n">
        <v>63</v>
      </c>
    </row>
    <row r="14" customFormat="false" ht="23.85" hidden="false" customHeight="false" outlineLevel="0" collapsed="false">
      <c r="A14" s="7" t="s">
        <v>2675</v>
      </c>
      <c r="B14" s="7" t="s">
        <v>169</v>
      </c>
      <c r="C14" s="7" t="s">
        <v>130</v>
      </c>
      <c r="D14" s="7" t="s">
        <v>170</v>
      </c>
      <c r="E14" s="7" t="s">
        <v>2665</v>
      </c>
      <c r="F14" s="7"/>
      <c r="G14" s="7"/>
      <c r="H14" s="7" t="s">
        <v>2666</v>
      </c>
      <c r="I14" s="7" t="s">
        <v>2667</v>
      </c>
      <c r="J14" s="7" t="n">
        <v>64</v>
      </c>
      <c r="K14" s="7" t="n">
        <v>63</v>
      </c>
    </row>
    <row r="15" customFormat="false" ht="23.85" hidden="false" customHeight="false" outlineLevel="0" collapsed="false">
      <c r="A15" s="7" t="s">
        <v>2676</v>
      </c>
      <c r="B15" s="7" t="s">
        <v>173</v>
      </c>
      <c r="C15" s="7" t="s">
        <v>130</v>
      </c>
      <c r="D15" s="7" t="s">
        <v>174</v>
      </c>
      <c r="E15" s="7" t="s">
        <v>2665</v>
      </c>
      <c r="F15" s="7"/>
      <c r="G15" s="7"/>
      <c r="H15" s="7" t="s">
        <v>2666</v>
      </c>
      <c r="I15" s="7" t="s">
        <v>2667</v>
      </c>
      <c r="J15" s="7" t="n">
        <v>64</v>
      </c>
      <c r="K15" s="7" t="n">
        <v>63</v>
      </c>
    </row>
    <row r="16" customFormat="false" ht="35.05" hidden="false" customHeight="false" outlineLevel="0" collapsed="false">
      <c r="A16" s="7" t="s">
        <v>2677</v>
      </c>
      <c r="B16" s="7" t="s">
        <v>176</v>
      </c>
      <c r="C16" s="7" t="s">
        <v>177</v>
      </c>
      <c r="D16" s="7" t="s">
        <v>178</v>
      </c>
      <c r="E16" s="7" t="s">
        <v>2661</v>
      </c>
      <c r="F16" s="7" t="s">
        <v>2678</v>
      </c>
      <c r="G16" s="7" t="s">
        <v>2679</v>
      </c>
      <c r="H16" s="7" t="s">
        <v>2680</v>
      </c>
      <c r="I16" s="7" t="s">
        <v>2681</v>
      </c>
      <c r="J16" s="7" t="n">
        <v>62</v>
      </c>
      <c r="K16" s="7" t="n">
        <v>63</v>
      </c>
    </row>
    <row r="17" customFormat="false" ht="35.05" hidden="false" customHeight="false" outlineLevel="0" collapsed="false">
      <c r="A17" s="7" t="s">
        <v>2682</v>
      </c>
      <c r="B17" s="7" t="s">
        <v>182</v>
      </c>
      <c r="C17" s="7" t="s">
        <v>177</v>
      </c>
      <c r="D17" s="7" t="s">
        <v>183</v>
      </c>
      <c r="E17" s="7" t="s">
        <v>2661</v>
      </c>
      <c r="F17" s="7" t="s">
        <v>2678</v>
      </c>
      <c r="G17" s="7" t="s">
        <v>2679</v>
      </c>
      <c r="H17" s="7" t="s">
        <v>2680</v>
      </c>
      <c r="I17" s="7" t="s">
        <v>2681</v>
      </c>
      <c r="J17" s="7" t="n">
        <v>62</v>
      </c>
      <c r="K17" s="7" t="n">
        <v>63</v>
      </c>
    </row>
    <row r="18" customFormat="false" ht="35.05" hidden="false" customHeight="false" outlineLevel="0" collapsed="false">
      <c r="A18" s="7" t="s">
        <v>2683</v>
      </c>
      <c r="B18" s="7" t="s">
        <v>186</v>
      </c>
      <c r="C18" s="7" t="s">
        <v>177</v>
      </c>
      <c r="D18" s="7" t="s">
        <v>187</v>
      </c>
      <c r="E18" s="7" t="s">
        <v>2661</v>
      </c>
      <c r="F18" s="7" t="s">
        <v>2678</v>
      </c>
      <c r="G18" s="7" t="s">
        <v>2679</v>
      </c>
      <c r="H18" s="7" t="s">
        <v>2680</v>
      </c>
      <c r="I18" s="7" t="s">
        <v>2681</v>
      </c>
      <c r="J18" s="7" t="n">
        <v>62</v>
      </c>
      <c r="K18" s="7" t="n">
        <v>63</v>
      </c>
    </row>
    <row r="19" customFormat="false" ht="35.05" hidden="false" customHeight="false" outlineLevel="0" collapsed="false">
      <c r="A19" s="7" t="s">
        <v>2684</v>
      </c>
      <c r="B19" s="7" t="s">
        <v>189</v>
      </c>
      <c r="C19" s="7" t="s">
        <v>177</v>
      </c>
      <c r="D19" s="7" t="s">
        <v>190</v>
      </c>
      <c r="E19" s="7" t="s">
        <v>2661</v>
      </c>
      <c r="F19" s="7" t="s">
        <v>946</v>
      </c>
      <c r="G19" s="7" t="s">
        <v>1020</v>
      </c>
      <c r="H19" s="7" t="s">
        <v>2685</v>
      </c>
      <c r="I19" s="7" t="s">
        <v>2686</v>
      </c>
      <c r="J19" s="7" t="n">
        <v>62</v>
      </c>
      <c r="K19" s="7" t="n">
        <v>63</v>
      </c>
    </row>
    <row r="20" customFormat="false" ht="23.85" hidden="false" customHeight="false" outlineLevel="0" collapsed="false">
      <c r="A20" s="7" t="s">
        <v>2687</v>
      </c>
      <c r="B20" s="7" t="s">
        <v>192</v>
      </c>
      <c r="C20" s="7" t="s">
        <v>177</v>
      </c>
      <c r="D20" s="7" t="s">
        <v>193</v>
      </c>
      <c r="E20" s="7" t="s">
        <v>2661</v>
      </c>
      <c r="F20" s="7" t="s">
        <v>2688</v>
      </c>
      <c r="G20" s="7" t="s">
        <v>2689</v>
      </c>
      <c r="H20" s="7" t="s">
        <v>2690</v>
      </c>
      <c r="I20" s="7" t="s">
        <v>2691</v>
      </c>
      <c r="J20" s="7" t="n">
        <v>62</v>
      </c>
      <c r="K20" s="7" t="n">
        <v>63</v>
      </c>
    </row>
    <row r="21" customFormat="false" ht="23.85" hidden="false" customHeight="false" outlineLevel="0" collapsed="false">
      <c r="A21" s="7" t="s">
        <v>2692</v>
      </c>
      <c r="B21" s="7" t="s">
        <v>198</v>
      </c>
      <c r="C21" s="7" t="s">
        <v>177</v>
      </c>
      <c r="D21" s="7" t="s">
        <v>199</v>
      </c>
      <c r="E21" s="7" t="s">
        <v>2661</v>
      </c>
      <c r="F21" s="7" t="s">
        <v>2688</v>
      </c>
      <c r="G21" s="7" t="s">
        <v>2689</v>
      </c>
      <c r="H21" s="7" t="s">
        <v>2690</v>
      </c>
      <c r="I21" s="7" t="s">
        <v>2691</v>
      </c>
      <c r="J21" s="7" t="n">
        <v>62</v>
      </c>
      <c r="K21" s="7" t="n">
        <v>63</v>
      </c>
    </row>
    <row r="22" customFormat="false" ht="35.05" hidden="false" customHeight="false" outlineLevel="0" collapsed="false">
      <c r="A22" s="7" t="s">
        <v>2693</v>
      </c>
      <c r="B22" s="7" t="s">
        <v>201</v>
      </c>
      <c r="C22" s="7" t="s">
        <v>177</v>
      </c>
      <c r="D22" s="7" t="s">
        <v>202</v>
      </c>
      <c r="E22" s="7" t="s">
        <v>2661</v>
      </c>
      <c r="F22" s="7" t="s">
        <v>946</v>
      </c>
      <c r="G22" s="7" t="s">
        <v>1020</v>
      </c>
      <c r="H22" s="7" t="s">
        <v>2685</v>
      </c>
      <c r="I22" s="7" t="s">
        <v>2686</v>
      </c>
      <c r="J22" s="7" t="n">
        <v>62</v>
      </c>
      <c r="K22" s="7" t="n">
        <v>63</v>
      </c>
    </row>
    <row r="23" customFormat="false" ht="35.05" hidden="false" customHeight="false" outlineLevel="0" collapsed="false">
      <c r="A23" s="7" t="s">
        <v>2694</v>
      </c>
      <c r="B23" s="7" t="s">
        <v>204</v>
      </c>
      <c r="C23" s="7" t="s">
        <v>177</v>
      </c>
      <c r="D23" s="7" t="s">
        <v>205</v>
      </c>
      <c r="E23" s="7" t="s">
        <v>2661</v>
      </c>
      <c r="F23" s="7" t="s">
        <v>2695</v>
      </c>
      <c r="G23" s="7" t="s">
        <v>2696</v>
      </c>
      <c r="H23" s="7" t="s">
        <v>2697</v>
      </c>
      <c r="I23" s="7" t="s">
        <v>2698</v>
      </c>
      <c r="J23" s="7" t="n">
        <v>62</v>
      </c>
      <c r="K23" s="7" t="n">
        <v>63</v>
      </c>
    </row>
    <row r="24" customFormat="false" ht="35.05" hidden="false" customHeight="false" outlineLevel="0" collapsed="false">
      <c r="A24" s="7" t="s">
        <v>2699</v>
      </c>
      <c r="B24" s="7" t="s">
        <v>208</v>
      </c>
      <c r="C24" s="7" t="s">
        <v>177</v>
      </c>
      <c r="D24" s="7" t="s">
        <v>209</v>
      </c>
      <c r="E24" s="7" t="s">
        <v>2661</v>
      </c>
      <c r="F24" s="7" t="s">
        <v>946</v>
      </c>
      <c r="G24" s="7" t="s">
        <v>1020</v>
      </c>
      <c r="H24" s="7" t="s">
        <v>2685</v>
      </c>
      <c r="I24" s="7" t="s">
        <v>2686</v>
      </c>
      <c r="J24" s="7" t="n">
        <v>62</v>
      </c>
      <c r="K24" s="7" t="n">
        <v>63</v>
      </c>
    </row>
    <row r="25" customFormat="false" ht="35.05" hidden="false" customHeight="false" outlineLevel="0" collapsed="false">
      <c r="A25" s="7" t="s">
        <v>2700</v>
      </c>
      <c r="B25" s="7" t="s">
        <v>212</v>
      </c>
      <c r="C25" s="7" t="s">
        <v>177</v>
      </c>
      <c r="D25" s="7" t="s">
        <v>213</v>
      </c>
      <c r="E25" s="7" t="s">
        <v>2661</v>
      </c>
      <c r="F25" s="7" t="s">
        <v>2695</v>
      </c>
      <c r="G25" s="7" t="s">
        <v>2696</v>
      </c>
      <c r="H25" s="7" t="s">
        <v>2697</v>
      </c>
      <c r="I25" s="7" t="s">
        <v>2698</v>
      </c>
      <c r="J25" s="7" t="n">
        <v>62</v>
      </c>
      <c r="K25" s="7" t="n">
        <v>63</v>
      </c>
    </row>
    <row r="26" customFormat="false" ht="35.05" hidden="false" customHeight="false" outlineLevel="0" collapsed="false">
      <c r="A26" s="7" t="s">
        <v>2701</v>
      </c>
      <c r="B26" s="7" t="s">
        <v>217</v>
      </c>
      <c r="C26" s="7" t="s">
        <v>177</v>
      </c>
      <c r="D26" s="7" t="s">
        <v>218</v>
      </c>
      <c r="E26" s="7" t="s">
        <v>2661</v>
      </c>
      <c r="F26" s="7" t="s">
        <v>2695</v>
      </c>
      <c r="G26" s="7" t="s">
        <v>2696</v>
      </c>
      <c r="H26" s="7" t="s">
        <v>2697</v>
      </c>
      <c r="I26" s="7" t="s">
        <v>2698</v>
      </c>
      <c r="J26" s="7" t="n">
        <v>62</v>
      </c>
      <c r="K26" s="7" t="n">
        <v>63</v>
      </c>
    </row>
    <row r="27" customFormat="false" ht="35.05" hidden="false" customHeight="false" outlineLevel="0" collapsed="false">
      <c r="A27" s="7" t="s">
        <v>2702</v>
      </c>
      <c r="B27" s="7" t="s">
        <v>220</v>
      </c>
      <c r="C27" s="7" t="s">
        <v>177</v>
      </c>
      <c r="D27" s="7" t="s">
        <v>221</v>
      </c>
      <c r="E27" s="7" t="s">
        <v>2661</v>
      </c>
      <c r="F27" s="7" t="s">
        <v>2695</v>
      </c>
      <c r="G27" s="7" t="s">
        <v>2696</v>
      </c>
      <c r="H27" s="7" t="s">
        <v>2697</v>
      </c>
      <c r="I27" s="7" t="s">
        <v>2698</v>
      </c>
      <c r="J27" s="7" t="n">
        <v>62</v>
      </c>
      <c r="K27" s="7" t="n">
        <v>63</v>
      </c>
    </row>
    <row r="28" customFormat="false" ht="35.05" hidden="false" customHeight="false" outlineLevel="0" collapsed="false">
      <c r="A28" s="7" t="s">
        <v>2703</v>
      </c>
      <c r="B28" s="7" t="s">
        <v>223</v>
      </c>
      <c r="C28" s="7" t="s">
        <v>177</v>
      </c>
      <c r="D28" s="7" t="s">
        <v>224</v>
      </c>
      <c r="E28" s="7" t="s">
        <v>2661</v>
      </c>
      <c r="F28" s="7" t="s">
        <v>2704</v>
      </c>
      <c r="G28" s="7" t="s">
        <v>2705</v>
      </c>
      <c r="H28" s="7" t="s">
        <v>2706</v>
      </c>
      <c r="I28" s="7" t="s">
        <v>2707</v>
      </c>
      <c r="J28" s="7" t="n">
        <v>62</v>
      </c>
      <c r="K28" s="7" t="n">
        <v>63</v>
      </c>
    </row>
    <row r="29" customFormat="false" ht="35.05" hidden="false" customHeight="false" outlineLevel="0" collapsed="false">
      <c r="A29" s="7" t="s">
        <v>2708</v>
      </c>
      <c r="B29" s="7" t="s">
        <v>226</v>
      </c>
      <c r="C29" s="7" t="s">
        <v>177</v>
      </c>
      <c r="D29" s="7" t="s">
        <v>227</v>
      </c>
      <c r="E29" s="7" t="s">
        <v>2661</v>
      </c>
      <c r="F29" s="7" t="s">
        <v>2704</v>
      </c>
      <c r="G29" s="7" t="s">
        <v>2705</v>
      </c>
      <c r="H29" s="7" t="s">
        <v>2706</v>
      </c>
      <c r="I29" s="7" t="s">
        <v>2707</v>
      </c>
      <c r="J29" s="7" t="n">
        <v>62</v>
      </c>
      <c r="K29" s="7" t="n">
        <v>63</v>
      </c>
    </row>
    <row r="30" customFormat="false" ht="35.05" hidden="false" customHeight="false" outlineLevel="0" collapsed="false">
      <c r="A30" s="7" t="s">
        <v>2709</v>
      </c>
      <c r="B30" s="7" t="s">
        <v>230</v>
      </c>
      <c r="C30" s="7" t="s">
        <v>177</v>
      </c>
      <c r="D30" s="7" t="s">
        <v>231</v>
      </c>
      <c r="E30" s="7" t="s">
        <v>2661</v>
      </c>
      <c r="F30" s="7" t="s">
        <v>2704</v>
      </c>
      <c r="G30" s="7" t="s">
        <v>2705</v>
      </c>
      <c r="H30" s="7" t="s">
        <v>2706</v>
      </c>
      <c r="I30" s="7" t="s">
        <v>2707</v>
      </c>
      <c r="J30" s="7" t="n">
        <v>62</v>
      </c>
      <c r="K30" s="7" t="n">
        <v>63</v>
      </c>
    </row>
    <row r="31" customFormat="false" ht="35.05" hidden="false" customHeight="false" outlineLevel="0" collapsed="false">
      <c r="A31" s="7" t="s">
        <v>2710</v>
      </c>
      <c r="B31" s="7" t="s">
        <v>233</v>
      </c>
      <c r="C31" s="7" t="s">
        <v>177</v>
      </c>
      <c r="D31" s="7" t="s">
        <v>234</v>
      </c>
      <c r="E31" s="7" t="s">
        <v>2661</v>
      </c>
      <c r="F31" s="7" t="s">
        <v>2704</v>
      </c>
      <c r="G31" s="7" t="s">
        <v>2705</v>
      </c>
      <c r="H31" s="7" t="s">
        <v>2706</v>
      </c>
      <c r="I31" s="7" t="s">
        <v>2707</v>
      </c>
      <c r="J31" s="7" t="n">
        <v>62</v>
      </c>
      <c r="K31" s="7" t="n">
        <v>63</v>
      </c>
    </row>
    <row r="32" customFormat="false" ht="35.05" hidden="false" customHeight="false" outlineLevel="0" collapsed="false">
      <c r="A32" s="7" t="s">
        <v>2711</v>
      </c>
      <c r="B32" s="7" t="s">
        <v>237</v>
      </c>
      <c r="C32" s="7" t="s">
        <v>177</v>
      </c>
      <c r="D32" s="7" t="s">
        <v>238</v>
      </c>
      <c r="E32" s="7" t="s">
        <v>2661</v>
      </c>
      <c r="F32" s="7" t="s">
        <v>2704</v>
      </c>
      <c r="G32" s="7" t="s">
        <v>2705</v>
      </c>
      <c r="H32" s="7" t="s">
        <v>2706</v>
      </c>
      <c r="I32" s="7" t="s">
        <v>2707</v>
      </c>
      <c r="J32" s="7" t="n">
        <v>62</v>
      </c>
      <c r="K32" s="7" t="n">
        <v>63</v>
      </c>
    </row>
    <row r="33" customFormat="false" ht="35.05" hidden="false" customHeight="false" outlineLevel="0" collapsed="false">
      <c r="A33" s="7" t="s">
        <v>2712</v>
      </c>
      <c r="B33" s="7" t="s">
        <v>240</v>
      </c>
      <c r="C33" s="7" t="s">
        <v>177</v>
      </c>
      <c r="D33" s="7" t="s">
        <v>241</v>
      </c>
      <c r="E33" s="7" t="s">
        <v>2713</v>
      </c>
      <c r="F33" s="7" t="s">
        <v>2714</v>
      </c>
      <c r="G33" s="7" t="s">
        <v>2715</v>
      </c>
      <c r="H33" s="7" t="s">
        <v>2716</v>
      </c>
      <c r="I33" s="7" t="s">
        <v>2717</v>
      </c>
      <c r="J33" s="7" t="n">
        <v>62</v>
      </c>
      <c r="K33" s="7" t="n">
        <v>63</v>
      </c>
    </row>
    <row r="34" customFormat="false" ht="35.05" hidden="false" customHeight="false" outlineLevel="0" collapsed="false">
      <c r="A34" s="7" t="s">
        <v>2718</v>
      </c>
      <c r="B34" s="7" t="s">
        <v>244</v>
      </c>
      <c r="C34" s="7" t="s">
        <v>177</v>
      </c>
      <c r="D34" s="7" t="s">
        <v>245</v>
      </c>
      <c r="E34" s="7" t="s">
        <v>2719</v>
      </c>
      <c r="F34" s="7" t="s">
        <v>2720</v>
      </c>
      <c r="G34" s="7" t="s">
        <v>2721</v>
      </c>
      <c r="H34" s="7" t="s">
        <v>2722</v>
      </c>
      <c r="I34" s="7" t="s">
        <v>2723</v>
      </c>
      <c r="J34" s="7" t="n">
        <v>62</v>
      </c>
      <c r="K34" s="7" t="n">
        <v>63</v>
      </c>
    </row>
    <row r="35" customFormat="false" ht="35.05" hidden="false" customHeight="false" outlineLevel="0" collapsed="false">
      <c r="A35" s="7" t="s">
        <v>2724</v>
      </c>
      <c r="B35" s="7" t="s">
        <v>247</v>
      </c>
      <c r="C35" s="7" t="s">
        <v>177</v>
      </c>
      <c r="D35" s="7" t="s">
        <v>248</v>
      </c>
      <c r="E35" s="7" t="s">
        <v>2719</v>
      </c>
      <c r="F35" s="7" t="s">
        <v>2720</v>
      </c>
      <c r="G35" s="7" t="s">
        <v>2721</v>
      </c>
      <c r="H35" s="7" t="s">
        <v>2722</v>
      </c>
      <c r="I35" s="7" t="s">
        <v>2723</v>
      </c>
      <c r="J35" s="7" t="n">
        <v>62</v>
      </c>
      <c r="K35" s="7" t="n">
        <v>63</v>
      </c>
    </row>
    <row r="36" customFormat="false" ht="35.05" hidden="false" customHeight="false" outlineLevel="0" collapsed="false">
      <c r="A36" s="7" t="s">
        <v>2725</v>
      </c>
      <c r="B36" s="7" t="s">
        <v>251</v>
      </c>
      <c r="C36" s="7" t="s">
        <v>177</v>
      </c>
      <c r="D36" s="7" t="s">
        <v>252</v>
      </c>
      <c r="E36" s="7" t="s">
        <v>2661</v>
      </c>
      <c r="F36" s="7" t="s">
        <v>2726</v>
      </c>
      <c r="G36" s="7" t="s">
        <v>2727</v>
      </c>
      <c r="H36" s="7" t="s">
        <v>2728</v>
      </c>
      <c r="I36" s="7" t="s">
        <v>2729</v>
      </c>
      <c r="J36" s="7" t="n">
        <v>62</v>
      </c>
      <c r="K36" s="7" t="n">
        <v>63</v>
      </c>
    </row>
    <row r="37" customFormat="false" ht="35.05" hidden="false" customHeight="false" outlineLevel="0" collapsed="false">
      <c r="A37" s="7" t="s">
        <v>2730</v>
      </c>
      <c r="B37" s="7" t="s">
        <v>254</v>
      </c>
      <c r="C37" s="7" t="s">
        <v>177</v>
      </c>
      <c r="D37" s="7" t="s">
        <v>255</v>
      </c>
      <c r="E37" s="7" t="s">
        <v>2661</v>
      </c>
      <c r="F37" s="7" t="s">
        <v>2726</v>
      </c>
      <c r="G37" s="7" t="s">
        <v>2727</v>
      </c>
      <c r="H37" s="7" t="s">
        <v>2728</v>
      </c>
      <c r="I37" s="7" t="s">
        <v>2729</v>
      </c>
      <c r="J37" s="7" t="n">
        <v>62</v>
      </c>
      <c r="K37" s="7" t="n">
        <v>63</v>
      </c>
    </row>
    <row r="38" customFormat="false" ht="35.05" hidden="false" customHeight="false" outlineLevel="0" collapsed="false">
      <c r="A38" s="7" t="s">
        <v>2731</v>
      </c>
      <c r="B38" s="7" t="s">
        <v>257</v>
      </c>
      <c r="C38" s="7" t="s">
        <v>177</v>
      </c>
      <c r="D38" s="7" t="s">
        <v>258</v>
      </c>
      <c r="E38" s="7" t="s">
        <v>2661</v>
      </c>
      <c r="F38" s="7" t="s">
        <v>2732</v>
      </c>
      <c r="G38" s="7" t="s">
        <v>2733</v>
      </c>
      <c r="H38" s="7" t="s">
        <v>2734</v>
      </c>
      <c r="I38" s="7" t="s">
        <v>2735</v>
      </c>
      <c r="J38" s="7" t="n">
        <v>62</v>
      </c>
      <c r="K38" s="7" t="n">
        <v>63</v>
      </c>
    </row>
    <row r="39" customFormat="false" ht="35.05" hidden="false" customHeight="false" outlineLevel="0" collapsed="false">
      <c r="A39" s="7" t="s">
        <v>2736</v>
      </c>
      <c r="B39" s="7" t="s">
        <v>262</v>
      </c>
      <c r="C39" s="7" t="s">
        <v>177</v>
      </c>
      <c r="D39" s="7" t="s">
        <v>263</v>
      </c>
      <c r="E39" s="7" t="s">
        <v>2661</v>
      </c>
      <c r="F39" s="7" t="s">
        <v>2732</v>
      </c>
      <c r="G39" s="7" t="s">
        <v>2733</v>
      </c>
      <c r="H39" s="7" t="s">
        <v>2734</v>
      </c>
      <c r="I39" s="7" t="s">
        <v>2735</v>
      </c>
      <c r="J39" s="7" t="n">
        <v>62</v>
      </c>
      <c r="K39" s="7" t="n">
        <v>63</v>
      </c>
    </row>
    <row r="40" customFormat="false" ht="35.05" hidden="false" customHeight="false" outlineLevel="0" collapsed="false">
      <c r="A40" s="7" t="s">
        <v>2737</v>
      </c>
      <c r="B40" s="7" t="s">
        <v>265</v>
      </c>
      <c r="C40" s="7" t="s">
        <v>177</v>
      </c>
      <c r="D40" s="7" t="s">
        <v>266</v>
      </c>
      <c r="E40" s="7" t="s">
        <v>2661</v>
      </c>
      <c r="F40" s="7" t="s">
        <v>2732</v>
      </c>
      <c r="G40" s="7" t="s">
        <v>2733</v>
      </c>
      <c r="H40" s="7" t="s">
        <v>2734</v>
      </c>
      <c r="I40" s="7" t="s">
        <v>2735</v>
      </c>
      <c r="J40" s="7" t="n">
        <v>62</v>
      </c>
      <c r="K40" s="7" t="n">
        <v>63</v>
      </c>
    </row>
    <row r="41" customFormat="false" ht="35.05" hidden="false" customHeight="false" outlineLevel="0" collapsed="false">
      <c r="A41" s="7" t="s">
        <v>2738</v>
      </c>
      <c r="B41" s="7" t="s">
        <v>268</v>
      </c>
      <c r="C41" s="7" t="s">
        <v>177</v>
      </c>
      <c r="D41" s="7" t="s">
        <v>269</v>
      </c>
      <c r="E41" s="7" t="s">
        <v>2661</v>
      </c>
      <c r="F41" s="7" t="s">
        <v>2732</v>
      </c>
      <c r="G41" s="7" t="s">
        <v>2733</v>
      </c>
      <c r="H41" s="7" t="s">
        <v>2734</v>
      </c>
      <c r="I41" s="7" t="s">
        <v>2735</v>
      </c>
      <c r="J41" s="7" t="n">
        <v>62</v>
      </c>
      <c r="K41" s="7" t="n">
        <v>63</v>
      </c>
    </row>
    <row r="42" customFormat="false" ht="35.05" hidden="false" customHeight="false" outlineLevel="0" collapsed="false">
      <c r="A42" s="7" t="s">
        <v>2739</v>
      </c>
      <c r="B42" s="7" t="s">
        <v>271</v>
      </c>
      <c r="C42" s="7" t="s">
        <v>177</v>
      </c>
      <c r="D42" s="7" t="s">
        <v>272</v>
      </c>
      <c r="E42" s="7" t="s">
        <v>2719</v>
      </c>
      <c r="F42" s="7" t="s">
        <v>2740</v>
      </c>
      <c r="G42" s="7" t="s">
        <v>2741</v>
      </c>
      <c r="H42" s="7" t="s">
        <v>2742</v>
      </c>
      <c r="I42" s="7" t="s">
        <v>2743</v>
      </c>
      <c r="J42" s="7" t="n">
        <v>62</v>
      </c>
      <c r="K42" s="7" t="n">
        <v>63</v>
      </c>
    </row>
    <row r="43" customFormat="false" ht="35.05" hidden="false" customHeight="false" outlineLevel="0" collapsed="false">
      <c r="A43" s="7" t="s">
        <v>2744</v>
      </c>
      <c r="B43" s="7" t="s">
        <v>275</v>
      </c>
      <c r="C43" s="7" t="s">
        <v>276</v>
      </c>
      <c r="D43" s="7" t="s">
        <v>277</v>
      </c>
      <c r="E43" s="7" t="s">
        <v>2661</v>
      </c>
      <c r="F43" s="7" t="s">
        <v>2695</v>
      </c>
      <c r="G43" s="7" t="s">
        <v>2696</v>
      </c>
      <c r="H43" s="7" t="s">
        <v>2745</v>
      </c>
      <c r="I43" s="7" t="s">
        <v>2746</v>
      </c>
      <c r="J43" s="7" t="n">
        <v>62</v>
      </c>
      <c r="K43" s="7" t="n">
        <v>63</v>
      </c>
    </row>
    <row r="44" customFormat="false" ht="35.05" hidden="false" customHeight="false" outlineLevel="0" collapsed="false">
      <c r="A44" s="7" t="s">
        <v>2747</v>
      </c>
      <c r="B44" s="7" t="s">
        <v>280</v>
      </c>
      <c r="C44" s="7" t="s">
        <v>276</v>
      </c>
      <c r="D44" s="7" t="s">
        <v>281</v>
      </c>
      <c r="E44" s="7" t="s">
        <v>2661</v>
      </c>
      <c r="F44" s="7" t="s">
        <v>2695</v>
      </c>
      <c r="G44" s="7" t="s">
        <v>2696</v>
      </c>
      <c r="H44" s="7" t="s">
        <v>2745</v>
      </c>
      <c r="I44" s="7" t="s">
        <v>2746</v>
      </c>
      <c r="J44" s="7" t="n">
        <v>62</v>
      </c>
      <c r="K44" s="7" t="n">
        <v>63</v>
      </c>
    </row>
    <row r="45" customFormat="false" ht="35.05" hidden="false" customHeight="false" outlineLevel="0" collapsed="false">
      <c r="A45" s="7" t="s">
        <v>2748</v>
      </c>
      <c r="B45" s="7" t="s">
        <v>284</v>
      </c>
      <c r="C45" s="7" t="s">
        <v>276</v>
      </c>
      <c r="D45" s="7" t="s">
        <v>285</v>
      </c>
      <c r="E45" s="7" t="s">
        <v>2661</v>
      </c>
      <c r="F45" s="7" t="s">
        <v>2695</v>
      </c>
      <c r="G45" s="7" t="s">
        <v>2696</v>
      </c>
      <c r="H45" s="7" t="s">
        <v>2745</v>
      </c>
      <c r="I45" s="7" t="s">
        <v>2746</v>
      </c>
      <c r="J45" s="7" t="n">
        <v>62</v>
      </c>
      <c r="K45" s="7" t="n">
        <v>63</v>
      </c>
    </row>
    <row r="46" customFormat="false" ht="35.05" hidden="false" customHeight="false" outlineLevel="0" collapsed="false">
      <c r="A46" s="7" t="s">
        <v>2749</v>
      </c>
      <c r="B46" s="7" t="s">
        <v>287</v>
      </c>
      <c r="C46" s="7" t="s">
        <v>276</v>
      </c>
      <c r="D46" s="7" t="s">
        <v>288</v>
      </c>
      <c r="E46" s="7" t="s">
        <v>2661</v>
      </c>
      <c r="F46" s="7" t="s">
        <v>2695</v>
      </c>
      <c r="G46" s="7" t="s">
        <v>2696</v>
      </c>
      <c r="H46" s="7" t="s">
        <v>2745</v>
      </c>
      <c r="I46" s="7" t="s">
        <v>2746</v>
      </c>
      <c r="J46" s="7" t="n">
        <v>62</v>
      </c>
      <c r="K46" s="7" t="n">
        <v>63</v>
      </c>
    </row>
    <row r="47" customFormat="false" ht="35.05" hidden="false" customHeight="false" outlineLevel="0" collapsed="false">
      <c r="A47" s="7" t="s">
        <v>2750</v>
      </c>
      <c r="B47" s="7" t="s">
        <v>291</v>
      </c>
      <c r="C47" s="7" t="s">
        <v>276</v>
      </c>
      <c r="D47" s="7" t="s">
        <v>292</v>
      </c>
      <c r="E47" s="7" t="s">
        <v>2719</v>
      </c>
      <c r="F47" s="7" t="s">
        <v>2751</v>
      </c>
      <c r="G47" s="7" t="s">
        <v>2752</v>
      </c>
      <c r="H47" s="7" t="s">
        <v>2753</v>
      </c>
      <c r="I47" s="7" t="s">
        <v>2754</v>
      </c>
      <c r="J47" s="7" t="n">
        <v>62</v>
      </c>
      <c r="K47" s="7" t="n">
        <v>63</v>
      </c>
    </row>
    <row r="48" customFormat="false" ht="35.05" hidden="false" customHeight="false" outlineLevel="0" collapsed="false">
      <c r="A48" s="7" t="s">
        <v>2755</v>
      </c>
      <c r="B48" s="7" t="s">
        <v>296</v>
      </c>
      <c r="C48" s="7" t="s">
        <v>276</v>
      </c>
      <c r="D48" s="7" t="s">
        <v>297</v>
      </c>
      <c r="E48" s="7" t="s">
        <v>2719</v>
      </c>
      <c r="F48" s="7" t="s">
        <v>2756</v>
      </c>
      <c r="G48" s="7" t="s">
        <v>2757</v>
      </c>
      <c r="H48" s="7" t="s">
        <v>2758</v>
      </c>
      <c r="I48" s="7" t="s">
        <v>2759</v>
      </c>
      <c r="J48" s="7" t="n">
        <v>62</v>
      </c>
      <c r="K48" s="7" t="n">
        <v>63</v>
      </c>
    </row>
    <row r="49" customFormat="false" ht="35.05" hidden="false" customHeight="false" outlineLevel="0" collapsed="false">
      <c r="A49" s="7" t="s">
        <v>2760</v>
      </c>
      <c r="B49" s="7" t="s">
        <v>299</v>
      </c>
      <c r="C49" s="7" t="s">
        <v>276</v>
      </c>
      <c r="D49" s="7" t="s">
        <v>300</v>
      </c>
      <c r="E49" s="7" t="s">
        <v>2719</v>
      </c>
      <c r="F49" s="7" t="s">
        <v>2756</v>
      </c>
      <c r="G49" s="7" t="s">
        <v>2757</v>
      </c>
      <c r="H49" s="7" t="s">
        <v>2758</v>
      </c>
      <c r="I49" s="7" t="s">
        <v>2759</v>
      </c>
      <c r="J49" s="7" t="n">
        <v>62</v>
      </c>
      <c r="K49" s="7" t="n">
        <v>63</v>
      </c>
    </row>
    <row r="50" customFormat="false" ht="35.05" hidden="false" customHeight="false" outlineLevel="0" collapsed="false">
      <c r="A50" s="7" t="s">
        <v>2761</v>
      </c>
      <c r="B50" s="7" t="s">
        <v>302</v>
      </c>
      <c r="C50" s="7" t="s">
        <v>276</v>
      </c>
      <c r="D50" s="7" t="s">
        <v>303</v>
      </c>
      <c r="E50" s="7" t="s">
        <v>2719</v>
      </c>
      <c r="F50" s="7" t="s">
        <v>2762</v>
      </c>
      <c r="G50" s="7" t="s">
        <v>2763</v>
      </c>
      <c r="H50" s="7" t="s">
        <v>2764</v>
      </c>
      <c r="I50" s="7" t="s">
        <v>2765</v>
      </c>
      <c r="J50" s="7" t="n">
        <v>62</v>
      </c>
      <c r="K50" s="7" t="n">
        <v>63</v>
      </c>
    </row>
    <row r="51" customFormat="false" ht="35.05" hidden="false" customHeight="false" outlineLevel="0" collapsed="false">
      <c r="A51" s="7" t="s">
        <v>2766</v>
      </c>
      <c r="B51" s="7" t="s">
        <v>306</v>
      </c>
      <c r="C51" s="7" t="s">
        <v>276</v>
      </c>
      <c r="D51" s="7" t="s">
        <v>307</v>
      </c>
      <c r="E51" s="7" t="s">
        <v>2719</v>
      </c>
      <c r="F51" s="7" t="s">
        <v>2762</v>
      </c>
      <c r="G51" s="7" t="s">
        <v>2763</v>
      </c>
      <c r="H51" s="7" t="s">
        <v>2764</v>
      </c>
      <c r="I51" s="7" t="s">
        <v>2765</v>
      </c>
      <c r="J51" s="7" t="n">
        <v>62</v>
      </c>
      <c r="K51" s="7" t="n">
        <v>63</v>
      </c>
    </row>
    <row r="52" customFormat="false" ht="35.05" hidden="false" customHeight="false" outlineLevel="0" collapsed="false">
      <c r="A52" s="7" t="s">
        <v>2767</v>
      </c>
      <c r="B52" s="7" t="s">
        <v>309</v>
      </c>
      <c r="C52" s="7" t="s">
        <v>276</v>
      </c>
      <c r="D52" s="7" t="s">
        <v>310</v>
      </c>
      <c r="E52" s="7" t="s">
        <v>2719</v>
      </c>
      <c r="F52" s="7" t="s">
        <v>2768</v>
      </c>
      <c r="G52" s="7" t="s">
        <v>2769</v>
      </c>
      <c r="H52" s="7" t="s">
        <v>2770</v>
      </c>
      <c r="I52" s="7" t="s">
        <v>2771</v>
      </c>
      <c r="J52" s="7" t="n">
        <v>62</v>
      </c>
      <c r="K52" s="7" t="n">
        <v>63</v>
      </c>
    </row>
    <row r="53" customFormat="false" ht="35.05" hidden="false" customHeight="false" outlineLevel="0" collapsed="false">
      <c r="A53" s="7" t="s">
        <v>2772</v>
      </c>
      <c r="B53" s="7" t="s">
        <v>312</v>
      </c>
      <c r="C53" s="7" t="s">
        <v>276</v>
      </c>
      <c r="D53" s="7" t="s">
        <v>313</v>
      </c>
      <c r="E53" s="7" t="s">
        <v>2719</v>
      </c>
      <c r="F53" s="7" t="s">
        <v>2768</v>
      </c>
      <c r="G53" s="7" t="s">
        <v>2769</v>
      </c>
      <c r="H53" s="7" t="s">
        <v>2770</v>
      </c>
      <c r="I53" s="7" t="s">
        <v>2771</v>
      </c>
      <c r="J53" s="7" t="n">
        <v>62</v>
      </c>
      <c r="K53" s="7" t="n">
        <v>63</v>
      </c>
    </row>
    <row r="54" customFormat="false" ht="35.05" hidden="false" customHeight="false" outlineLevel="0" collapsed="false">
      <c r="A54" s="7" t="s">
        <v>2773</v>
      </c>
      <c r="B54" s="7" t="s">
        <v>315</v>
      </c>
      <c r="C54" s="7" t="s">
        <v>276</v>
      </c>
      <c r="D54" s="7" t="s">
        <v>316</v>
      </c>
      <c r="E54" s="7" t="s">
        <v>2661</v>
      </c>
      <c r="F54" s="7" t="s">
        <v>2774</v>
      </c>
      <c r="G54" s="7" t="s">
        <v>2775</v>
      </c>
      <c r="H54" s="7" t="s">
        <v>2776</v>
      </c>
      <c r="I54" s="7" t="s">
        <v>2777</v>
      </c>
      <c r="J54" s="7" t="n">
        <v>62</v>
      </c>
      <c r="K54" s="7" t="n">
        <v>63</v>
      </c>
    </row>
    <row r="55" customFormat="false" ht="35.05" hidden="false" customHeight="false" outlineLevel="0" collapsed="false">
      <c r="A55" s="7" t="s">
        <v>2778</v>
      </c>
      <c r="B55" s="7" t="s">
        <v>318</v>
      </c>
      <c r="C55" s="7" t="s">
        <v>276</v>
      </c>
      <c r="D55" s="7" t="s">
        <v>319</v>
      </c>
      <c r="E55" s="7" t="s">
        <v>2661</v>
      </c>
      <c r="F55" s="7" t="s">
        <v>2774</v>
      </c>
      <c r="G55" s="7" t="s">
        <v>2775</v>
      </c>
      <c r="H55" s="7" t="s">
        <v>2776</v>
      </c>
      <c r="I55" s="7" t="s">
        <v>2777</v>
      </c>
      <c r="J55" s="7" t="n">
        <v>62</v>
      </c>
      <c r="K55" s="7" t="n">
        <v>63</v>
      </c>
    </row>
    <row r="56" customFormat="false" ht="35.05" hidden="false" customHeight="false" outlineLevel="0" collapsed="false">
      <c r="A56" s="7" t="s">
        <v>2779</v>
      </c>
      <c r="B56" s="7" t="s">
        <v>321</v>
      </c>
      <c r="C56" s="7" t="s">
        <v>276</v>
      </c>
      <c r="D56" s="7" t="s">
        <v>322</v>
      </c>
      <c r="E56" s="7" t="s">
        <v>2719</v>
      </c>
      <c r="F56" s="7" t="s">
        <v>1993</v>
      </c>
      <c r="G56" s="7" t="s">
        <v>1994</v>
      </c>
      <c r="H56" s="7" t="s">
        <v>2780</v>
      </c>
      <c r="I56" s="7" t="s">
        <v>2781</v>
      </c>
      <c r="J56" s="7" t="n">
        <v>62</v>
      </c>
      <c r="K56" s="7" t="n">
        <v>63</v>
      </c>
    </row>
    <row r="57" customFormat="false" ht="35.05" hidden="false" customHeight="false" outlineLevel="0" collapsed="false">
      <c r="A57" s="7" t="s">
        <v>2782</v>
      </c>
      <c r="B57" s="7" t="s">
        <v>325</v>
      </c>
      <c r="C57" s="7" t="s">
        <v>276</v>
      </c>
      <c r="D57" s="7" t="s">
        <v>326</v>
      </c>
      <c r="E57" s="7" t="s">
        <v>2719</v>
      </c>
      <c r="F57" s="7" t="s">
        <v>1993</v>
      </c>
      <c r="G57" s="7" t="s">
        <v>1994</v>
      </c>
      <c r="H57" s="7" t="s">
        <v>2780</v>
      </c>
      <c r="I57" s="7" t="s">
        <v>2781</v>
      </c>
      <c r="J57" s="7" t="n">
        <v>62</v>
      </c>
      <c r="K57" s="7" t="n">
        <v>63</v>
      </c>
    </row>
    <row r="58" customFormat="false" ht="35.05" hidden="false" customHeight="false" outlineLevel="0" collapsed="false">
      <c r="A58" s="7" t="s">
        <v>2783</v>
      </c>
      <c r="B58" s="7" t="s">
        <v>328</v>
      </c>
      <c r="C58" s="7" t="s">
        <v>329</v>
      </c>
      <c r="D58" s="7" t="s">
        <v>330</v>
      </c>
      <c r="E58" s="7" t="s">
        <v>2719</v>
      </c>
      <c r="F58" s="7" t="s">
        <v>2784</v>
      </c>
      <c r="G58" s="7" t="s">
        <v>2785</v>
      </c>
      <c r="H58" s="7" t="s">
        <v>2786</v>
      </c>
      <c r="I58" s="7" t="s">
        <v>2787</v>
      </c>
      <c r="J58" s="7" t="n">
        <v>62</v>
      </c>
      <c r="K58" s="7" t="n">
        <v>63</v>
      </c>
    </row>
    <row r="59" customFormat="false" ht="35.05" hidden="false" customHeight="false" outlineLevel="0" collapsed="false">
      <c r="A59" s="7" t="s">
        <v>2788</v>
      </c>
      <c r="B59" s="7" t="s">
        <v>334</v>
      </c>
      <c r="C59" s="7" t="s">
        <v>329</v>
      </c>
      <c r="D59" s="7" t="s">
        <v>335</v>
      </c>
      <c r="E59" s="7" t="s">
        <v>2719</v>
      </c>
      <c r="F59" s="7" t="s">
        <v>2784</v>
      </c>
      <c r="G59" s="7" t="s">
        <v>2785</v>
      </c>
      <c r="H59" s="7" t="s">
        <v>2786</v>
      </c>
      <c r="I59" s="7" t="s">
        <v>2787</v>
      </c>
      <c r="J59" s="7" t="n">
        <v>62</v>
      </c>
      <c r="K59" s="7" t="n">
        <v>63</v>
      </c>
    </row>
    <row r="60" customFormat="false" ht="35.05" hidden="false" customHeight="false" outlineLevel="0" collapsed="false">
      <c r="A60" s="7" t="s">
        <v>2789</v>
      </c>
      <c r="B60" s="7" t="s">
        <v>337</v>
      </c>
      <c r="C60" s="7" t="s">
        <v>329</v>
      </c>
      <c r="D60" s="7" t="s">
        <v>338</v>
      </c>
      <c r="E60" s="7" t="s">
        <v>2719</v>
      </c>
      <c r="F60" s="7" t="s">
        <v>2784</v>
      </c>
      <c r="G60" s="7" t="s">
        <v>2785</v>
      </c>
      <c r="H60" s="7" t="s">
        <v>2786</v>
      </c>
      <c r="I60" s="7" t="s">
        <v>2787</v>
      </c>
      <c r="J60" s="7" t="n">
        <v>62</v>
      </c>
      <c r="K60" s="7" t="n">
        <v>63</v>
      </c>
    </row>
    <row r="61" customFormat="false" ht="35.05" hidden="false" customHeight="false" outlineLevel="0" collapsed="false">
      <c r="A61" s="7" t="s">
        <v>2790</v>
      </c>
      <c r="B61" s="7" t="s">
        <v>340</v>
      </c>
      <c r="C61" s="7" t="s">
        <v>329</v>
      </c>
      <c r="D61" s="7" t="s">
        <v>341</v>
      </c>
      <c r="E61" s="7" t="s">
        <v>2719</v>
      </c>
      <c r="F61" s="7" t="s">
        <v>2791</v>
      </c>
      <c r="G61" s="7" t="s">
        <v>2792</v>
      </c>
      <c r="H61" s="7" t="s">
        <v>2793</v>
      </c>
      <c r="I61" s="7" t="s">
        <v>2794</v>
      </c>
      <c r="J61" s="7" t="n">
        <v>62</v>
      </c>
      <c r="K61" s="7" t="n">
        <v>63</v>
      </c>
    </row>
    <row r="62" customFormat="false" ht="35.05" hidden="false" customHeight="false" outlineLevel="0" collapsed="false">
      <c r="A62" s="7" t="s">
        <v>2795</v>
      </c>
      <c r="B62" s="7" t="s">
        <v>344</v>
      </c>
      <c r="C62" s="7" t="s">
        <v>329</v>
      </c>
      <c r="D62" s="7" t="s">
        <v>345</v>
      </c>
      <c r="E62" s="7" t="s">
        <v>2719</v>
      </c>
      <c r="F62" s="7" t="s">
        <v>2791</v>
      </c>
      <c r="G62" s="7" t="s">
        <v>2792</v>
      </c>
      <c r="H62" s="7" t="s">
        <v>2793</v>
      </c>
      <c r="I62" s="7" t="s">
        <v>2794</v>
      </c>
      <c r="J62" s="7" t="n">
        <v>62</v>
      </c>
      <c r="K62" s="7" t="n">
        <v>63</v>
      </c>
    </row>
    <row r="63" customFormat="false" ht="35.05" hidden="false" customHeight="false" outlineLevel="0" collapsed="false">
      <c r="A63" s="7" t="s">
        <v>2796</v>
      </c>
      <c r="B63" s="7" t="s">
        <v>348</v>
      </c>
      <c r="C63" s="7" t="s">
        <v>349</v>
      </c>
      <c r="D63" s="7" t="s">
        <v>350</v>
      </c>
      <c r="E63" s="7" t="s">
        <v>2661</v>
      </c>
      <c r="F63" s="7" t="s">
        <v>2797</v>
      </c>
      <c r="G63" s="7" t="s">
        <v>2798</v>
      </c>
      <c r="H63" s="7" t="s">
        <v>2799</v>
      </c>
      <c r="I63" s="7" t="s">
        <v>2800</v>
      </c>
      <c r="J63" s="7" t="n">
        <v>62</v>
      </c>
      <c r="K63" s="7" t="n">
        <v>63</v>
      </c>
    </row>
    <row r="64" customFormat="false" ht="46.25" hidden="false" customHeight="false" outlineLevel="0" collapsed="false">
      <c r="A64" s="7" t="s">
        <v>2801</v>
      </c>
      <c r="B64" s="7" t="s">
        <v>354</v>
      </c>
      <c r="C64" s="7" t="s">
        <v>349</v>
      </c>
      <c r="D64" s="7" t="s">
        <v>355</v>
      </c>
      <c r="E64" s="7" t="s">
        <v>2713</v>
      </c>
      <c r="F64" s="7" t="s">
        <v>2802</v>
      </c>
      <c r="G64" s="7" t="s">
        <v>2803</v>
      </c>
      <c r="H64" s="7" t="s">
        <v>2804</v>
      </c>
      <c r="I64" s="7" t="s">
        <v>2805</v>
      </c>
      <c r="J64" s="7" t="n">
        <v>62</v>
      </c>
      <c r="K64" s="7" t="n">
        <v>63</v>
      </c>
    </row>
    <row r="65" customFormat="false" ht="46.25" hidden="false" customHeight="false" outlineLevel="0" collapsed="false">
      <c r="A65" s="7" t="s">
        <v>2806</v>
      </c>
      <c r="B65" s="7" t="s">
        <v>357</v>
      </c>
      <c r="C65" s="7" t="s">
        <v>349</v>
      </c>
      <c r="D65" s="7" t="s">
        <v>358</v>
      </c>
      <c r="E65" s="7" t="s">
        <v>2713</v>
      </c>
      <c r="F65" s="7" t="s">
        <v>2802</v>
      </c>
      <c r="G65" s="7" t="s">
        <v>2803</v>
      </c>
      <c r="H65" s="7" t="s">
        <v>2804</v>
      </c>
      <c r="I65" s="7" t="s">
        <v>2805</v>
      </c>
      <c r="J65" s="7" t="n">
        <v>62</v>
      </c>
      <c r="K65" s="7" t="n">
        <v>63</v>
      </c>
    </row>
    <row r="66" customFormat="false" ht="46.25" hidden="false" customHeight="false" outlineLevel="0" collapsed="false">
      <c r="A66" s="7" t="s">
        <v>2807</v>
      </c>
      <c r="B66" s="7" t="s">
        <v>360</v>
      </c>
      <c r="C66" s="7" t="s">
        <v>349</v>
      </c>
      <c r="D66" s="7" t="s">
        <v>361</v>
      </c>
      <c r="E66" s="7" t="s">
        <v>2713</v>
      </c>
      <c r="F66" s="7" t="s">
        <v>2802</v>
      </c>
      <c r="G66" s="7" t="s">
        <v>2803</v>
      </c>
      <c r="H66" s="7" t="s">
        <v>2804</v>
      </c>
      <c r="I66" s="7" t="s">
        <v>2805</v>
      </c>
      <c r="J66" s="7" t="n">
        <v>62</v>
      </c>
      <c r="K66" s="7" t="n">
        <v>63</v>
      </c>
    </row>
    <row r="67" customFormat="false" ht="35.05" hidden="false" customHeight="false" outlineLevel="0" collapsed="false">
      <c r="A67" s="7" t="s">
        <v>2808</v>
      </c>
      <c r="B67" s="7" t="s">
        <v>363</v>
      </c>
      <c r="C67" s="7" t="s">
        <v>349</v>
      </c>
      <c r="D67" s="7" t="s">
        <v>364</v>
      </c>
      <c r="E67" s="7" t="s">
        <v>2713</v>
      </c>
      <c r="F67" s="7" t="s">
        <v>2809</v>
      </c>
      <c r="G67" s="7" t="s">
        <v>2810</v>
      </c>
      <c r="H67" s="7" t="s">
        <v>2811</v>
      </c>
      <c r="I67" s="7" t="s">
        <v>2812</v>
      </c>
      <c r="J67" s="7" t="n">
        <v>62</v>
      </c>
      <c r="K67" s="7" t="n">
        <v>63</v>
      </c>
    </row>
    <row r="68" customFormat="false" ht="35.05" hidden="false" customHeight="false" outlineLevel="0" collapsed="false">
      <c r="A68" s="7" t="s">
        <v>2813</v>
      </c>
      <c r="B68" s="7" t="s">
        <v>369</v>
      </c>
      <c r="C68" s="7" t="s">
        <v>349</v>
      </c>
      <c r="D68" s="7" t="s">
        <v>370</v>
      </c>
      <c r="E68" s="7" t="s">
        <v>2719</v>
      </c>
      <c r="F68" s="7" t="s">
        <v>2814</v>
      </c>
      <c r="G68" s="7" t="s">
        <v>2815</v>
      </c>
      <c r="H68" s="7" t="s">
        <v>2816</v>
      </c>
      <c r="I68" s="7" t="s">
        <v>2817</v>
      </c>
      <c r="J68" s="7" t="n">
        <v>62</v>
      </c>
      <c r="K68" s="7" t="n">
        <v>63</v>
      </c>
    </row>
    <row r="69" customFormat="false" ht="23.85" hidden="false" customHeight="false" outlineLevel="0" collapsed="false">
      <c r="A69" s="7" t="s">
        <v>2818</v>
      </c>
      <c r="B69" s="7" t="s">
        <v>373</v>
      </c>
      <c r="C69" s="7" t="s">
        <v>349</v>
      </c>
      <c r="D69" s="7" t="s">
        <v>374</v>
      </c>
      <c r="E69" s="7" t="s">
        <v>2719</v>
      </c>
      <c r="F69" s="7" t="s">
        <v>2819</v>
      </c>
      <c r="G69" s="7" t="s">
        <v>2820</v>
      </c>
      <c r="H69" s="7" t="s">
        <v>2821</v>
      </c>
      <c r="I69" s="7" t="s">
        <v>2822</v>
      </c>
      <c r="J69" s="7" t="n">
        <v>62</v>
      </c>
      <c r="K69" s="7" t="n">
        <v>63</v>
      </c>
    </row>
    <row r="70" customFormat="false" ht="23.85" hidden="false" customHeight="false" outlineLevel="0" collapsed="false">
      <c r="A70" s="7" t="s">
        <v>2823</v>
      </c>
      <c r="B70" s="7" t="s">
        <v>376</v>
      </c>
      <c r="C70" s="7" t="s">
        <v>349</v>
      </c>
      <c r="D70" s="7" t="s">
        <v>377</v>
      </c>
      <c r="E70" s="7" t="s">
        <v>2719</v>
      </c>
      <c r="F70" s="7" t="s">
        <v>2824</v>
      </c>
      <c r="G70" s="7" t="s">
        <v>2825</v>
      </c>
      <c r="H70" s="7" t="s">
        <v>2826</v>
      </c>
      <c r="I70" s="7" t="s">
        <v>2827</v>
      </c>
      <c r="J70" s="7" t="n">
        <v>62</v>
      </c>
      <c r="K70" s="7" t="n">
        <v>63</v>
      </c>
    </row>
    <row r="71" customFormat="false" ht="35.05" hidden="false" customHeight="false" outlineLevel="0" collapsed="false">
      <c r="A71" s="7" t="s">
        <v>2828</v>
      </c>
      <c r="B71" s="7" t="s">
        <v>379</v>
      </c>
      <c r="C71" s="7" t="s">
        <v>349</v>
      </c>
      <c r="D71" s="7" t="s">
        <v>380</v>
      </c>
      <c r="E71" s="7" t="s">
        <v>2665</v>
      </c>
      <c r="F71" s="7"/>
      <c r="G71" s="7"/>
      <c r="H71" s="7" t="s">
        <v>2829</v>
      </c>
      <c r="I71" s="7" t="s">
        <v>2830</v>
      </c>
      <c r="J71" s="7" t="n">
        <v>64</v>
      </c>
      <c r="K71" s="7" t="n">
        <v>63</v>
      </c>
    </row>
    <row r="72" customFormat="false" ht="35.05" hidden="false" customHeight="false" outlineLevel="0" collapsed="false">
      <c r="A72" s="7" t="s">
        <v>2831</v>
      </c>
      <c r="B72" s="7" t="s">
        <v>383</v>
      </c>
      <c r="C72" s="7" t="s">
        <v>349</v>
      </c>
      <c r="D72" s="7" t="s">
        <v>384</v>
      </c>
      <c r="E72" s="7" t="s">
        <v>2665</v>
      </c>
      <c r="F72" s="7"/>
      <c r="G72" s="7"/>
      <c r="H72" s="7" t="s">
        <v>2829</v>
      </c>
      <c r="I72" s="7" t="s">
        <v>2830</v>
      </c>
      <c r="J72" s="7" t="n">
        <v>64</v>
      </c>
      <c r="K72" s="7" t="n">
        <v>63</v>
      </c>
    </row>
    <row r="73" customFormat="false" ht="35.05" hidden="false" customHeight="false" outlineLevel="0" collapsed="false">
      <c r="A73" s="7" t="s">
        <v>2832</v>
      </c>
      <c r="B73" s="7" t="s">
        <v>386</v>
      </c>
      <c r="C73" s="7" t="s">
        <v>349</v>
      </c>
      <c r="D73" s="7" t="s">
        <v>387</v>
      </c>
      <c r="E73" s="7" t="s">
        <v>2665</v>
      </c>
      <c r="F73" s="7"/>
      <c r="G73" s="7"/>
      <c r="H73" s="7" t="s">
        <v>2829</v>
      </c>
      <c r="I73" s="7" t="s">
        <v>2830</v>
      </c>
      <c r="J73" s="7" t="n">
        <v>64</v>
      </c>
      <c r="K73" s="7" t="n">
        <v>63</v>
      </c>
    </row>
    <row r="74" customFormat="false" ht="35.05" hidden="false" customHeight="false" outlineLevel="0" collapsed="false">
      <c r="A74" s="7" t="s">
        <v>2833</v>
      </c>
      <c r="B74" s="7" t="s">
        <v>389</v>
      </c>
      <c r="C74" s="7" t="s">
        <v>349</v>
      </c>
      <c r="D74" s="7" t="s">
        <v>390</v>
      </c>
      <c r="E74" s="7" t="s">
        <v>2665</v>
      </c>
      <c r="F74" s="7"/>
      <c r="G74" s="7"/>
      <c r="H74" s="7" t="s">
        <v>2829</v>
      </c>
      <c r="I74" s="7" t="s">
        <v>2830</v>
      </c>
      <c r="J74" s="7" t="n">
        <v>64</v>
      </c>
      <c r="K74" s="7" t="n">
        <v>63</v>
      </c>
    </row>
    <row r="75" customFormat="false" ht="35.05" hidden="false" customHeight="false" outlineLevel="0" collapsed="false">
      <c r="A75" s="7" t="s">
        <v>2834</v>
      </c>
      <c r="B75" s="7" t="s">
        <v>392</v>
      </c>
      <c r="C75" s="7" t="s">
        <v>349</v>
      </c>
      <c r="D75" s="7" t="s">
        <v>393</v>
      </c>
      <c r="E75" s="7" t="s">
        <v>2661</v>
      </c>
      <c r="F75" s="7" t="s">
        <v>2835</v>
      </c>
      <c r="G75" s="7" t="s">
        <v>2836</v>
      </c>
      <c r="H75" s="7" t="s">
        <v>2837</v>
      </c>
      <c r="I75" s="7" t="s">
        <v>2838</v>
      </c>
      <c r="J75" s="7" t="n">
        <v>62</v>
      </c>
      <c r="K75" s="7" t="n">
        <v>63</v>
      </c>
    </row>
    <row r="76" customFormat="false" ht="35.05" hidden="false" customHeight="false" outlineLevel="0" collapsed="false">
      <c r="A76" s="7" t="s">
        <v>2839</v>
      </c>
      <c r="B76" s="7" t="s">
        <v>396</v>
      </c>
      <c r="C76" s="7" t="s">
        <v>349</v>
      </c>
      <c r="D76" s="7" t="s">
        <v>397</v>
      </c>
      <c r="E76" s="7" t="s">
        <v>2661</v>
      </c>
      <c r="F76" s="7" t="s">
        <v>2835</v>
      </c>
      <c r="G76" s="7" t="s">
        <v>2836</v>
      </c>
      <c r="H76" s="7" t="s">
        <v>2837</v>
      </c>
      <c r="I76" s="7" t="s">
        <v>2838</v>
      </c>
      <c r="J76" s="7" t="n">
        <v>62</v>
      </c>
      <c r="K76" s="7" t="n">
        <v>63</v>
      </c>
    </row>
    <row r="77" customFormat="false" ht="35.05" hidden="false" customHeight="false" outlineLevel="0" collapsed="false">
      <c r="A77" s="7" t="s">
        <v>2840</v>
      </c>
      <c r="B77" s="7" t="s">
        <v>399</v>
      </c>
      <c r="C77" s="7" t="s">
        <v>349</v>
      </c>
      <c r="D77" s="7" t="s">
        <v>400</v>
      </c>
      <c r="E77" s="7" t="s">
        <v>2661</v>
      </c>
      <c r="F77" s="7" t="s">
        <v>2835</v>
      </c>
      <c r="G77" s="7" t="s">
        <v>2836</v>
      </c>
      <c r="H77" s="7" t="s">
        <v>2837</v>
      </c>
      <c r="I77" s="7" t="s">
        <v>2838</v>
      </c>
      <c r="J77" s="7" t="n">
        <v>62</v>
      </c>
      <c r="K77" s="7" t="n">
        <v>63</v>
      </c>
    </row>
    <row r="78" customFormat="false" ht="35.05" hidden="false" customHeight="false" outlineLevel="0" collapsed="false">
      <c r="A78" s="7" t="s">
        <v>2841</v>
      </c>
      <c r="B78" s="7" t="s">
        <v>402</v>
      </c>
      <c r="C78" s="7" t="s">
        <v>349</v>
      </c>
      <c r="D78" s="7" t="s">
        <v>403</v>
      </c>
      <c r="E78" s="7" t="s">
        <v>2661</v>
      </c>
      <c r="F78" s="7" t="s">
        <v>2835</v>
      </c>
      <c r="G78" s="7" t="s">
        <v>2836</v>
      </c>
      <c r="H78" s="7" t="s">
        <v>2837</v>
      </c>
      <c r="I78" s="7" t="s">
        <v>2838</v>
      </c>
      <c r="J78" s="7" t="n">
        <v>62</v>
      </c>
      <c r="K78" s="7" t="n">
        <v>63</v>
      </c>
    </row>
    <row r="79" customFormat="false" ht="35.05" hidden="false" customHeight="false" outlineLevel="0" collapsed="false">
      <c r="A79" s="7" t="s">
        <v>2842</v>
      </c>
      <c r="B79" s="7" t="s">
        <v>405</v>
      </c>
      <c r="C79" s="7" t="s">
        <v>349</v>
      </c>
      <c r="D79" s="7" t="s">
        <v>406</v>
      </c>
      <c r="E79" s="7" t="s">
        <v>2713</v>
      </c>
      <c r="F79" s="7" t="s">
        <v>689</v>
      </c>
      <c r="G79" s="7" t="s">
        <v>673</v>
      </c>
      <c r="H79" s="7" t="s">
        <v>2843</v>
      </c>
      <c r="I79" s="7" t="s">
        <v>2844</v>
      </c>
      <c r="J79" s="7" t="n">
        <v>62</v>
      </c>
      <c r="K79" s="7" t="n">
        <v>63</v>
      </c>
    </row>
    <row r="80" customFormat="false" ht="46.25" hidden="false" customHeight="false" outlineLevel="0" collapsed="false">
      <c r="A80" s="7" t="s">
        <v>2845</v>
      </c>
      <c r="B80" s="7" t="s">
        <v>409</v>
      </c>
      <c r="C80" s="7" t="s">
        <v>349</v>
      </c>
      <c r="D80" s="7" t="s">
        <v>410</v>
      </c>
      <c r="E80" s="7" t="s">
        <v>2719</v>
      </c>
      <c r="F80" s="7" t="s">
        <v>2846</v>
      </c>
      <c r="G80" s="7" t="s">
        <v>2847</v>
      </c>
      <c r="H80" s="7" t="s">
        <v>2848</v>
      </c>
      <c r="I80" s="7" t="s">
        <v>2849</v>
      </c>
      <c r="J80" s="7" t="n">
        <v>62</v>
      </c>
      <c r="K80" s="7" t="n">
        <v>63</v>
      </c>
    </row>
    <row r="81" customFormat="false" ht="46.25" hidden="false" customHeight="false" outlineLevel="0" collapsed="false">
      <c r="A81" s="7" t="s">
        <v>2850</v>
      </c>
      <c r="B81" s="7" t="s">
        <v>413</v>
      </c>
      <c r="C81" s="7" t="s">
        <v>349</v>
      </c>
      <c r="D81" s="7" t="s">
        <v>414</v>
      </c>
      <c r="E81" s="7" t="s">
        <v>2719</v>
      </c>
      <c r="F81" s="7" t="s">
        <v>2846</v>
      </c>
      <c r="G81" s="7" t="s">
        <v>2847</v>
      </c>
      <c r="H81" s="7" t="s">
        <v>2848</v>
      </c>
      <c r="I81" s="7" t="s">
        <v>2849</v>
      </c>
      <c r="J81" s="7" t="n">
        <v>62</v>
      </c>
      <c r="K81" s="7" t="n">
        <v>63</v>
      </c>
    </row>
    <row r="82" customFormat="false" ht="35.05" hidden="false" customHeight="false" outlineLevel="0" collapsed="false">
      <c r="A82" s="7" t="s">
        <v>2851</v>
      </c>
      <c r="B82" s="7" t="s">
        <v>417</v>
      </c>
      <c r="C82" s="7" t="s">
        <v>349</v>
      </c>
      <c r="D82" s="7" t="s">
        <v>418</v>
      </c>
      <c r="E82" s="7" t="s">
        <v>2719</v>
      </c>
      <c r="F82" s="7" t="s">
        <v>2272</v>
      </c>
      <c r="G82" s="7" t="s">
        <v>2852</v>
      </c>
      <c r="H82" s="7" t="s">
        <v>2853</v>
      </c>
      <c r="I82" s="7" t="s">
        <v>2854</v>
      </c>
      <c r="J82" s="7" t="n">
        <v>62</v>
      </c>
      <c r="K82" s="7" t="n">
        <v>63</v>
      </c>
    </row>
    <row r="83" customFormat="false" ht="35.05" hidden="false" customHeight="false" outlineLevel="0" collapsed="false">
      <c r="A83" s="7" t="s">
        <v>2855</v>
      </c>
      <c r="B83" s="7" t="s">
        <v>420</v>
      </c>
      <c r="C83" s="7" t="s">
        <v>349</v>
      </c>
      <c r="D83" s="7" t="s">
        <v>421</v>
      </c>
      <c r="E83" s="7" t="s">
        <v>2719</v>
      </c>
      <c r="F83" s="7" t="s">
        <v>2272</v>
      </c>
      <c r="G83" s="7" t="s">
        <v>2852</v>
      </c>
      <c r="H83" s="7" t="s">
        <v>2853</v>
      </c>
      <c r="I83" s="7" t="s">
        <v>2854</v>
      </c>
      <c r="J83" s="7" t="n">
        <v>62</v>
      </c>
      <c r="K83" s="7" t="n">
        <v>63</v>
      </c>
    </row>
    <row r="84" customFormat="false" ht="35.05" hidden="false" customHeight="false" outlineLevel="0" collapsed="false">
      <c r="A84" s="7" t="s">
        <v>2856</v>
      </c>
      <c r="B84" s="7" t="s">
        <v>423</v>
      </c>
      <c r="C84" s="7" t="s">
        <v>349</v>
      </c>
      <c r="D84" s="7" t="s">
        <v>424</v>
      </c>
      <c r="E84" s="7" t="s">
        <v>2719</v>
      </c>
      <c r="F84" s="7" t="s">
        <v>2857</v>
      </c>
      <c r="G84" s="7" t="s">
        <v>2858</v>
      </c>
      <c r="H84" s="7" t="s">
        <v>2859</v>
      </c>
      <c r="I84" s="7" t="s">
        <v>2860</v>
      </c>
      <c r="J84" s="7" t="n">
        <v>62</v>
      </c>
      <c r="K84" s="7" t="n">
        <v>63</v>
      </c>
    </row>
    <row r="85" customFormat="false" ht="35.05" hidden="false" customHeight="false" outlineLevel="0" collapsed="false">
      <c r="A85" s="7" t="s">
        <v>2861</v>
      </c>
      <c r="B85" s="7" t="s">
        <v>427</v>
      </c>
      <c r="C85" s="7" t="s">
        <v>349</v>
      </c>
      <c r="D85" s="7" t="s">
        <v>428</v>
      </c>
      <c r="E85" s="7" t="s">
        <v>2719</v>
      </c>
      <c r="F85" s="7" t="s">
        <v>2857</v>
      </c>
      <c r="G85" s="7" t="s">
        <v>2858</v>
      </c>
      <c r="H85" s="7" t="s">
        <v>2859</v>
      </c>
      <c r="I85" s="7" t="s">
        <v>2860</v>
      </c>
      <c r="J85" s="7" t="n">
        <v>62</v>
      </c>
      <c r="K85" s="7" t="n">
        <v>63</v>
      </c>
    </row>
    <row r="86" customFormat="false" ht="35.05" hidden="false" customHeight="false" outlineLevel="0" collapsed="false">
      <c r="A86" s="7" t="s">
        <v>2862</v>
      </c>
      <c r="B86" s="7" t="s">
        <v>430</v>
      </c>
      <c r="C86" s="7" t="s">
        <v>349</v>
      </c>
      <c r="D86" s="7" t="s">
        <v>431</v>
      </c>
      <c r="E86" s="7" t="s">
        <v>2661</v>
      </c>
      <c r="F86" s="7" t="s">
        <v>2863</v>
      </c>
      <c r="G86" s="7" t="s">
        <v>2864</v>
      </c>
      <c r="H86" s="7" t="s">
        <v>2865</v>
      </c>
      <c r="I86" s="7" t="s">
        <v>2866</v>
      </c>
      <c r="J86" s="7" t="n">
        <v>62</v>
      </c>
      <c r="K86" s="7" t="n">
        <v>63</v>
      </c>
    </row>
    <row r="87" customFormat="false" ht="35.05" hidden="false" customHeight="false" outlineLevel="0" collapsed="false">
      <c r="A87" s="7" t="s">
        <v>2867</v>
      </c>
      <c r="B87" s="7" t="s">
        <v>434</v>
      </c>
      <c r="C87" s="7" t="s">
        <v>349</v>
      </c>
      <c r="D87" s="7" t="s">
        <v>435</v>
      </c>
      <c r="E87" s="7" t="s">
        <v>2661</v>
      </c>
      <c r="F87" s="7" t="s">
        <v>2863</v>
      </c>
      <c r="G87" s="7" t="s">
        <v>2864</v>
      </c>
      <c r="H87" s="7" t="s">
        <v>2865</v>
      </c>
      <c r="I87" s="7" t="s">
        <v>2866</v>
      </c>
      <c r="J87" s="7" t="n">
        <v>62</v>
      </c>
      <c r="K87" s="7" t="n">
        <v>63</v>
      </c>
    </row>
    <row r="88" customFormat="false" ht="35.05" hidden="false" customHeight="false" outlineLevel="0" collapsed="false">
      <c r="A88" s="7" t="s">
        <v>2868</v>
      </c>
      <c r="B88" s="7" t="s">
        <v>437</v>
      </c>
      <c r="C88" s="7" t="s">
        <v>349</v>
      </c>
      <c r="D88" s="7" t="s">
        <v>438</v>
      </c>
      <c r="E88" s="7" t="s">
        <v>2661</v>
      </c>
      <c r="F88" s="7" t="s">
        <v>2869</v>
      </c>
      <c r="G88" s="7" t="s">
        <v>2870</v>
      </c>
      <c r="H88" s="7" t="s">
        <v>2871</v>
      </c>
      <c r="I88" s="7" t="s">
        <v>2872</v>
      </c>
      <c r="J88" s="7" t="n">
        <v>62</v>
      </c>
      <c r="K88" s="7" t="n">
        <v>63</v>
      </c>
    </row>
    <row r="89" customFormat="false" ht="35.05" hidden="false" customHeight="false" outlineLevel="0" collapsed="false">
      <c r="A89" s="7" t="s">
        <v>2873</v>
      </c>
      <c r="B89" s="7" t="s">
        <v>441</v>
      </c>
      <c r="C89" s="7" t="s">
        <v>349</v>
      </c>
      <c r="D89" s="7" t="s">
        <v>442</v>
      </c>
      <c r="E89" s="7" t="s">
        <v>2661</v>
      </c>
      <c r="F89" s="7" t="s">
        <v>2869</v>
      </c>
      <c r="G89" s="7" t="s">
        <v>2870</v>
      </c>
      <c r="H89" s="7" t="s">
        <v>2871</v>
      </c>
      <c r="I89" s="7" t="s">
        <v>2872</v>
      </c>
      <c r="J89" s="7" t="n">
        <v>62</v>
      </c>
      <c r="K89" s="7" t="n">
        <v>63</v>
      </c>
    </row>
    <row r="90" customFormat="false" ht="35.05" hidden="false" customHeight="false" outlineLevel="0" collapsed="false">
      <c r="A90" s="7" t="s">
        <v>2874</v>
      </c>
      <c r="B90" s="7" t="s">
        <v>445</v>
      </c>
      <c r="C90" s="7" t="s">
        <v>349</v>
      </c>
      <c r="D90" s="7" t="s">
        <v>446</v>
      </c>
      <c r="E90" s="7" t="s">
        <v>2661</v>
      </c>
      <c r="F90" s="7" t="s">
        <v>2875</v>
      </c>
      <c r="G90" s="7" t="s">
        <v>2876</v>
      </c>
      <c r="H90" s="7" t="s">
        <v>2877</v>
      </c>
      <c r="I90" s="7" t="s">
        <v>2878</v>
      </c>
      <c r="J90" s="7" t="n">
        <v>62</v>
      </c>
      <c r="K90" s="7" t="n">
        <v>63</v>
      </c>
    </row>
    <row r="91" customFormat="false" ht="35.05" hidden="false" customHeight="false" outlineLevel="0" collapsed="false">
      <c r="A91" s="7" t="s">
        <v>2879</v>
      </c>
      <c r="B91" s="7" t="s">
        <v>448</v>
      </c>
      <c r="C91" s="7" t="s">
        <v>349</v>
      </c>
      <c r="D91" s="7" t="s">
        <v>449</v>
      </c>
      <c r="E91" s="7" t="s">
        <v>2661</v>
      </c>
      <c r="F91" s="7" t="s">
        <v>2875</v>
      </c>
      <c r="G91" s="7" t="s">
        <v>2876</v>
      </c>
      <c r="H91" s="7" t="s">
        <v>2877</v>
      </c>
      <c r="I91" s="7" t="s">
        <v>2878</v>
      </c>
      <c r="J91" s="7" t="n">
        <v>62</v>
      </c>
      <c r="K91" s="7" t="n">
        <v>63</v>
      </c>
    </row>
    <row r="92" customFormat="false" ht="35.05" hidden="false" customHeight="false" outlineLevel="0" collapsed="false">
      <c r="A92" s="7" t="s">
        <v>2880</v>
      </c>
      <c r="B92" s="7" t="s">
        <v>451</v>
      </c>
      <c r="C92" s="7" t="s">
        <v>349</v>
      </c>
      <c r="D92" s="7" t="s">
        <v>452</v>
      </c>
      <c r="E92" s="7" t="s">
        <v>2661</v>
      </c>
      <c r="F92" s="7" t="s">
        <v>2881</v>
      </c>
      <c r="G92" s="7" t="s">
        <v>2882</v>
      </c>
      <c r="H92" s="7" t="s">
        <v>2883</v>
      </c>
      <c r="I92" s="7" t="s">
        <v>2884</v>
      </c>
      <c r="J92" s="7" t="n">
        <v>62</v>
      </c>
      <c r="K92" s="7" t="n">
        <v>63</v>
      </c>
    </row>
    <row r="93" customFormat="false" ht="35.05" hidden="false" customHeight="false" outlineLevel="0" collapsed="false">
      <c r="A93" s="7" t="s">
        <v>2885</v>
      </c>
      <c r="B93" s="7" t="s">
        <v>455</v>
      </c>
      <c r="C93" s="7" t="s">
        <v>349</v>
      </c>
      <c r="D93" s="7" t="s">
        <v>456</v>
      </c>
      <c r="E93" s="7" t="s">
        <v>2661</v>
      </c>
      <c r="F93" s="7" t="s">
        <v>2881</v>
      </c>
      <c r="G93" s="7" t="s">
        <v>2882</v>
      </c>
      <c r="H93" s="7" t="s">
        <v>2883</v>
      </c>
      <c r="I93" s="7" t="s">
        <v>2884</v>
      </c>
      <c r="J93" s="7" t="n">
        <v>62</v>
      </c>
      <c r="K93" s="7" t="n">
        <v>63</v>
      </c>
    </row>
    <row r="94" customFormat="false" ht="35.05" hidden="false" customHeight="false" outlineLevel="0" collapsed="false">
      <c r="A94" s="7" t="s">
        <v>2886</v>
      </c>
      <c r="B94" s="7" t="s">
        <v>458</v>
      </c>
      <c r="C94" s="7" t="s">
        <v>459</v>
      </c>
      <c r="D94" s="7" t="s">
        <v>460</v>
      </c>
      <c r="E94" s="7" t="s">
        <v>2665</v>
      </c>
      <c r="F94" s="7"/>
      <c r="G94" s="7"/>
      <c r="H94" s="7" t="s">
        <v>2887</v>
      </c>
      <c r="I94" s="7" t="s">
        <v>2888</v>
      </c>
      <c r="J94" s="7" t="n">
        <v>64</v>
      </c>
      <c r="K94" s="7" t="n">
        <v>63</v>
      </c>
    </row>
    <row r="95" customFormat="false" ht="35.05" hidden="false" customHeight="false" outlineLevel="0" collapsed="false">
      <c r="A95" s="7" t="s">
        <v>2889</v>
      </c>
      <c r="B95" s="7" t="s">
        <v>463</v>
      </c>
      <c r="C95" s="7" t="s">
        <v>459</v>
      </c>
      <c r="D95" s="7" t="s">
        <v>464</v>
      </c>
      <c r="E95" s="7" t="s">
        <v>2665</v>
      </c>
      <c r="F95" s="7"/>
      <c r="G95" s="7"/>
      <c r="H95" s="7" t="s">
        <v>2887</v>
      </c>
      <c r="I95" s="7" t="s">
        <v>2888</v>
      </c>
      <c r="J95" s="7" t="n">
        <v>64</v>
      </c>
      <c r="K95" s="7" t="n">
        <v>63</v>
      </c>
    </row>
    <row r="96" customFormat="false" ht="35.05" hidden="false" customHeight="false" outlineLevel="0" collapsed="false">
      <c r="A96" s="7" t="s">
        <v>2890</v>
      </c>
      <c r="B96" s="7" t="s">
        <v>467</v>
      </c>
      <c r="C96" s="7" t="s">
        <v>459</v>
      </c>
      <c r="D96" s="7" t="s">
        <v>468</v>
      </c>
      <c r="E96" s="7" t="s">
        <v>2665</v>
      </c>
      <c r="F96" s="7"/>
      <c r="G96" s="7"/>
      <c r="H96" s="7" t="s">
        <v>2887</v>
      </c>
      <c r="I96" s="7" t="s">
        <v>2888</v>
      </c>
      <c r="J96" s="7" t="n">
        <v>64</v>
      </c>
      <c r="K96" s="7" t="n">
        <v>63</v>
      </c>
    </row>
    <row r="97" customFormat="false" ht="35.05" hidden="false" customHeight="false" outlineLevel="0" collapsed="false">
      <c r="A97" s="7" t="s">
        <v>2891</v>
      </c>
      <c r="B97" s="7" t="s">
        <v>471</v>
      </c>
      <c r="C97" s="7" t="s">
        <v>459</v>
      </c>
      <c r="D97" s="7" t="s">
        <v>472</v>
      </c>
      <c r="E97" s="7" t="s">
        <v>2665</v>
      </c>
      <c r="F97" s="7"/>
      <c r="G97" s="7"/>
      <c r="H97" s="7" t="s">
        <v>2887</v>
      </c>
      <c r="I97" s="7" t="s">
        <v>2888</v>
      </c>
      <c r="J97" s="7" t="n">
        <v>64</v>
      </c>
      <c r="K97" s="7" t="n">
        <v>63</v>
      </c>
    </row>
    <row r="98" customFormat="false" ht="35.05" hidden="false" customHeight="false" outlineLevel="0" collapsed="false">
      <c r="A98" s="7" t="s">
        <v>2892</v>
      </c>
      <c r="B98" s="7" t="s">
        <v>475</v>
      </c>
      <c r="C98" s="7" t="s">
        <v>459</v>
      </c>
      <c r="D98" s="7" t="s">
        <v>476</v>
      </c>
      <c r="E98" s="7" t="s">
        <v>2665</v>
      </c>
      <c r="F98" s="7"/>
      <c r="G98" s="7"/>
      <c r="H98" s="7" t="s">
        <v>2887</v>
      </c>
      <c r="I98" s="7" t="s">
        <v>2888</v>
      </c>
      <c r="J98" s="7" t="n">
        <v>64</v>
      </c>
      <c r="K98" s="7" t="n">
        <v>63</v>
      </c>
    </row>
    <row r="99" customFormat="false" ht="35.05" hidden="false" customHeight="false" outlineLevel="0" collapsed="false">
      <c r="A99" s="7" t="s">
        <v>2893</v>
      </c>
      <c r="B99" s="7" t="s">
        <v>479</v>
      </c>
      <c r="C99" s="7" t="s">
        <v>459</v>
      </c>
      <c r="D99" s="7" t="s">
        <v>480</v>
      </c>
      <c r="E99" s="7" t="s">
        <v>2665</v>
      </c>
      <c r="F99" s="7"/>
      <c r="G99" s="7"/>
      <c r="H99" s="7" t="s">
        <v>2887</v>
      </c>
      <c r="I99" s="7" t="s">
        <v>2888</v>
      </c>
      <c r="J99" s="7" t="n">
        <v>64</v>
      </c>
      <c r="K99" s="7" t="n">
        <v>63</v>
      </c>
    </row>
    <row r="100" customFormat="false" ht="35.05" hidden="false" customHeight="false" outlineLevel="0" collapsed="false">
      <c r="A100" s="7" t="s">
        <v>2894</v>
      </c>
      <c r="B100" s="7" t="s">
        <v>484</v>
      </c>
      <c r="C100" s="7" t="s">
        <v>459</v>
      </c>
      <c r="D100" s="7" t="s">
        <v>485</v>
      </c>
      <c r="E100" s="7" t="s">
        <v>2665</v>
      </c>
      <c r="F100" s="7"/>
      <c r="G100" s="7"/>
      <c r="H100" s="7" t="s">
        <v>2887</v>
      </c>
      <c r="I100" s="7" t="s">
        <v>2888</v>
      </c>
      <c r="J100" s="7" t="n">
        <v>64</v>
      </c>
      <c r="K100" s="7" t="n">
        <v>63</v>
      </c>
    </row>
    <row r="101" customFormat="false" ht="35.05" hidden="false" customHeight="false" outlineLevel="0" collapsed="false">
      <c r="A101" s="7" t="s">
        <v>2895</v>
      </c>
      <c r="B101" s="7" t="s">
        <v>488</v>
      </c>
      <c r="C101" s="7" t="s">
        <v>459</v>
      </c>
      <c r="D101" s="7" t="s">
        <v>489</v>
      </c>
      <c r="E101" s="7" t="s">
        <v>2665</v>
      </c>
      <c r="F101" s="7"/>
      <c r="G101" s="7"/>
      <c r="H101" s="7" t="s">
        <v>2887</v>
      </c>
      <c r="I101" s="7" t="s">
        <v>2888</v>
      </c>
      <c r="J101" s="7" t="n">
        <v>64</v>
      </c>
      <c r="K101" s="7" t="n">
        <v>63</v>
      </c>
    </row>
    <row r="102" customFormat="false" ht="35.05" hidden="false" customHeight="false" outlineLevel="0" collapsed="false">
      <c r="A102" s="7" t="s">
        <v>2896</v>
      </c>
      <c r="B102" s="7" t="s">
        <v>492</v>
      </c>
      <c r="C102" s="7" t="s">
        <v>459</v>
      </c>
      <c r="D102" s="7" t="s">
        <v>493</v>
      </c>
      <c r="E102" s="7" t="s">
        <v>2665</v>
      </c>
      <c r="F102" s="7"/>
      <c r="G102" s="7"/>
      <c r="H102" s="7" t="s">
        <v>2887</v>
      </c>
      <c r="I102" s="7" t="s">
        <v>2888</v>
      </c>
      <c r="J102" s="7" t="n">
        <v>64</v>
      </c>
      <c r="K102" s="7" t="n">
        <v>63</v>
      </c>
    </row>
    <row r="103" customFormat="false" ht="35.05" hidden="false" customHeight="false" outlineLevel="0" collapsed="false">
      <c r="A103" s="7" t="s">
        <v>2897</v>
      </c>
      <c r="B103" s="7" t="s">
        <v>496</v>
      </c>
      <c r="C103" s="7" t="s">
        <v>459</v>
      </c>
      <c r="D103" s="7" t="s">
        <v>497</v>
      </c>
      <c r="E103" s="7" t="s">
        <v>2665</v>
      </c>
      <c r="F103" s="7"/>
      <c r="G103" s="7"/>
      <c r="H103" s="7" t="s">
        <v>2887</v>
      </c>
      <c r="I103" s="7" t="s">
        <v>2888</v>
      </c>
      <c r="J103" s="7" t="n">
        <v>64</v>
      </c>
      <c r="K103" s="7" t="n">
        <v>63</v>
      </c>
    </row>
    <row r="104" customFormat="false" ht="35.05" hidden="false" customHeight="false" outlineLevel="0" collapsed="false">
      <c r="A104" s="7" t="s">
        <v>2898</v>
      </c>
      <c r="B104" s="7" t="s">
        <v>500</v>
      </c>
      <c r="C104" s="7" t="s">
        <v>459</v>
      </c>
      <c r="D104" s="7" t="s">
        <v>501</v>
      </c>
      <c r="E104" s="7" t="s">
        <v>2665</v>
      </c>
      <c r="F104" s="7"/>
      <c r="G104" s="7"/>
      <c r="H104" s="7" t="s">
        <v>2887</v>
      </c>
      <c r="I104" s="7" t="s">
        <v>2888</v>
      </c>
      <c r="J104" s="7" t="n">
        <v>64</v>
      </c>
      <c r="K104" s="7" t="n">
        <v>63</v>
      </c>
    </row>
    <row r="105" customFormat="false" ht="35.05" hidden="false" customHeight="false" outlineLevel="0" collapsed="false">
      <c r="A105" s="7" t="s">
        <v>2899</v>
      </c>
      <c r="B105" s="7" t="s">
        <v>504</v>
      </c>
      <c r="C105" s="7" t="s">
        <v>459</v>
      </c>
      <c r="D105" s="7" t="s">
        <v>505</v>
      </c>
      <c r="E105" s="7" t="s">
        <v>2665</v>
      </c>
      <c r="F105" s="7"/>
      <c r="G105" s="7"/>
      <c r="H105" s="7" t="s">
        <v>2887</v>
      </c>
      <c r="I105" s="7" t="s">
        <v>2888</v>
      </c>
      <c r="J105" s="7" t="n">
        <v>64</v>
      </c>
      <c r="K105" s="7" t="n">
        <v>63</v>
      </c>
    </row>
    <row r="106" customFormat="false" ht="35.05" hidden="false" customHeight="false" outlineLevel="0" collapsed="false">
      <c r="A106" s="7" t="s">
        <v>2900</v>
      </c>
      <c r="B106" s="7" t="s">
        <v>508</v>
      </c>
      <c r="C106" s="7" t="s">
        <v>459</v>
      </c>
      <c r="D106" s="7" t="s">
        <v>509</v>
      </c>
      <c r="E106" s="7" t="s">
        <v>2665</v>
      </c>
      <c r="F106" s="7"/>
      <c r="G106" s="7"/>
      <c r="H106" s="7" t="s">
        <v>2887</v>
      </c>
      <c r="I106" s="7" t="s">
        <v>2888</v>
      </c>
      <c r="J106" s="7" t="n">
        <v>64</v>
      </c>
      <c r="K106" s="7" t="n">
        <v>63</v>
      </c>
    </row>
    <row r="107" customFormat="false" ht="35.05" hidden="false" customHeight="false" outlineLevel="0" collapsed="false">
      <c r="A107" s="7" t="s">
        <v>2901</v>
      </c>
      <c r="B107" s="7" t="s">
        <v>512</v>
      </c>
      <c r="C107" s="7" t="s">
        <v>459</v>
      </c>
      <c r="D107" s="7" t="s">
        <v>513</v>
      </c>
      <c r="E107" s="7" t="s">
        <v>2665</v>
      </c>
      <c r="F107" s="7"/>
      <c r="G107" s="7"/>
      <c r="H107" s="7" t="s">
        <v>2887</v>
      </c>
      <c r="I107" s="7" t="s">
        <v>2888</v>
      </c>
      <c r="J107" s="7" t="n">
        <v>64</v>
      </c>
      <c r="K107" s="7" t="n">
        <v>63</v>
      </c>
    </row>
    <row r="108" customFormat="false" ht="35.05" hidden="false" customHeight="false" outlineLevel="0" collapsed="false">
      <c r="A108" s="7" t="s">
        <v>2902</v>
      </c>
      <c r="B108" s="7" t="s">
        <v>515</v>
      </c>
      <c r="C108" s="7" t="s">
        <v>459</v>
      </c>
      <c r="D108" s="7" t="s">
        <v>516</v>
      </c>
      <c r="E108" s="7" t="s">
        <v>2713</v>
      </c>
      <c r="F108" s="7" t="s">
        <v>2903</v>
      </c>
      <c r="G108" s="7" t="s">
        <v>2904</v>
      </c>
      <c r="H108" s="7" t="s">
        <v>2905</v>
      </c>
      <c r="I108" s="7" t="s">
        <v>2906</v>
      </c>
      <c r="J108" s="7" t="n">
        <v>62</v>
      </c>
      <c r="K108" s="7" t="n">
        <v>63</v>
      </c>
    </row>
    <row r="109" customFormat="false" ht="35.05" hidden="false" customHeight="false" outlineLevel="0" collapsed="false">
      <c r="A109" s="7" t="s">
        <v>2907</v>
      </c>
      <c r="B109" s="7" t="s">
        <v>519</v>
      </c>
      <c r="C109" s="7" t="s">
        <v>459</v>
      </c>
      <c r="D109" s="7" t="s">
        <v>520</v>
      </c>
      <c r="E109" s="7" t="s">
        <v>2713</v>
      </c>
      <c r="F109" s="7" t="s">
        <v>2908</v>
      </c>
      <c r="G109" s="7" t="s">
        <v>2909</v>
      </c>
      <c r="H109" s="7" t="s">
        <v>2910</v>
      </c>
      <c r="I109" s="7" t="s">
        <v>2911</v>
      </c>
      <c r="J109" s="7" t="n">
        <v>62</v>
      </c>
      <c r="K109" s="7" t="n">
        <v>63</v>
      </c>
    </row>
    <row r="110" customFormat="false" ht="35.05" hidden="false" customHeight="false" outlineLevel="0" collapsed="false">
      <c r="A110" s="7" t="s">
        <v>2912</v>
      </c>
      <c r="B110" s="7" t="s">
        <v>524</v>
      </c>
      <c r="C110" s="7" t="s">
        <v>459</v>
      </c>
      <c r="D110" s="7" t="s">
        <v>525</v>
      </c>
      <c r="E110" s="7" t="s">
        <v>2713</v>
      </c>
      <c r="F110" s="7" t="s">
        <v>2913</v>
      </c>
      <c r="G110" s="7" t="s">
        <v>2914</v>
      </c>
      <c r="H110" s="7" t="s">
        <v>2915</v>
      </c>
      <c r="I110" s="7" t="s">
        <v>2916</v>
      </c>
      <c r="J110" s="7" t="n">
        <v>62</v>
      </c>
      <c r="K110" s="7" t="n">
        <v>63</v>
      </c>
    </row>
    <row r="111" customFormat="false" ht="35.05" hidden="false" customHeight="false" outlineLevel="0" collapsed="false">
      <c r="A111" s="7" t="s">
        <v>2917</v>
      </c>
      <c r="B111" s="7" t="s">
        <v>528</v>
      </c>
      <c r="C111" s="7" t="s">
        <v>459</v>
      </c>
      <c r="D111" s="7" t="s">
        <v>529</v>
      </c>
      <c r="E111" s="7" t="s">
        <v>2713</v>
      </c>
      <c r="F111" s="7" t="s">
        <v>2918</v>
      </c>
      <c r="G111" s="7" t="s">
        <v>2919</v>
      </c>
      <c r="H111" s="7" t="s">
        <v>2920</v>
      </c>
      <c r="I111" s="7" t="s">
        <v>2921</v>
      </c>
      <c r="J111" s="7" t="n">
        <v>62</v>
      </c>
      <c r="K111" s="7" t="n">
        <v>63</v>
      </c>
    </row>
    <row r="112" customFormat="false" ht="35.05" hidden="false" customHeight="false" outlineLevel="0" collapsed="false">
      <c r="A112" s="7" t="s">
        <v>2922</v>
      </c>
      <c r="B112" s="7" t="s">
        <v>532</v>
      </c>
      <c r="C112" s="7" t="s">
        <v>459</v>
      </c>
      <c r="D112" s="7" t="s">
        <v>533</v>
      </c>
      <c r="E112" s="7" t="s">
        <v>2713</v>
      </c>
      <c r="F112" s="7" t="s">
        <v>2923</v>
      </c>
      <c r="G112" s="7" t="s">
        <v>2924</v>
      </c>
      <c r="H112" s="7" t="s">
        <v>2925</v>
      </c>
      <c r="I112" s="7" t="s">
        <v>2926</v>
      </c>
      <c r="J112" s="7" t="n">
        <v>62</v>
      </c>
      <c r="K112" s="7" t="n">
        <v>63</v>
      </c>
    </row>
  </sheetData>
  <autoFilter ref="A4:K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4"/>
    <col collapsed="false" customWidth="true" hidden="false" outlineLevel="0" max="5" min="4" style="0" width="24"/>
    <col collapsed="false" customWidth="true" hidden="false" outlineLevel="0" max="6" min="6" style="0" width="30"/>
    <col collapsed="false" customWidth="true" hidden="false" outlineLevel="0" max="8" min="7" style="0" width="50"/>
    <col collapsed="false" customWidth="true" hidden="false" outlineLevel="0" max="10" min="9" style="0" width="40"/>
  </cols>
  <sheetData>
    <row r="1" customFormat="false" ht="17.35" hidden="false" customHeight="false" outlineLevel="0" collapsed="false">
      <c r="A1" s="1" t="s">
        <v>2927</v>
      </c>
    </row>
    <row r="2" customFormat="false" ht="15" hidden="false" customHeight="false" outlineLevel="0" collapsed="false">
      <c r="A2" s="2" t="s">
        <v>2928</v>
      </c>
    </row>
    <row r="4" customFormat="false" ht="31.5" hidden="false" customHeight="true" outlineLevel="0" collapsed="false">
      <c r="A4" s="6" t="s">
        <v>118</v>
      </c>
      <c r="B4" s="6" t="s">
        <v>2586</v>
      </c>
      <c r="C4" s="6" t="s">
        <v>2929</v>
      </c>
      <c r="D4" s="6" t="s">
        <v>97</v>
      </c>
      <c r="E4" s="6" t="s">
        <v>2430</v>
      </c>
      <c r="F4" s="6" t="s">
        <v>33</v>
      </c>
      <c r="G4" s="6" t="s">
        <v>2930</v>
      </c>
      <c r="H4" s="6" t="s">
        <v>2931</v>
      </c>
      <c r="I4" s="6" t="s">
        <v>2932</v>
      </c>
      <c r="J4" s="6" t="s">
        <v>2933</v>
      </c>
    </row>
    <row r="5" customFormat="false" ht="35.05" hidden="false" customHeight="false" outlineLevel="0" collapsed="false">
      <c r="A5" s="7" t="s">
        <v>2934</v>
      </c>
      <c r="B5" s="7" t="s">
        <v>2935</v>
      </c>
      <c r="C5" s="7" t="s">
        <v>2661</v>
      </c>
      <c r="D5" s="7" t="s">
        <v>1317</v>
      </c>
      <c r="E5" s="7" t="s">
        <v>2936</v>
      </c>
      <c r="F5" s="7" t="s">
        <v>2937</v>
      </c>
      <c r="G5" s="7" t="s">
        <v>2662</v>
      </c>
      <c r="H5" s="7" t="s">
        <v>2663</v>
      </c>
      <c r="I5" s="7" t="n">
        <v>62</v>
      </c>
      <c r="J5" s="7" t="n">
        <v>63</v>
      </c>
    </row>
    <row r="6" customFormat="false" ht="35.05" hidden="false" customHeight="false" outlineLevel="0" collapsed="false">
      <c r="A6" s="7" t="s">
        <v>2938</v>
      </c>
      <c r="B6" s="7" t="s">
        <v>2935</v>
      </c>
      <c r="C6" s="7" t="s">
        <v>2661</v>
      </c>
      <c r="D6" s="7" t="s">
        <v>2939</v>
      </c>
      <c r="E6" s="7" t="s">
        <v>2940</v>
      </c>
      <c r="F6" s="7" t="s">
        <v>2941</v>
      </c>
      <c r="G6" s="7" t="s">
        <v>2680</v>
      </c>
      <c r="H6" s="7" t="s">
        <v>2681</v>
      </c>
      <c r="I6" s="7" t="n">
        <v>62</v>
      </c>
      <c r="J6" s="7" t="n">
        <v>63</v>
      </c>
    </row>
    <row r="7" customFormat="false" ht="35.05" hidden="false" customHeight="false" outlineLevel="0" collapsed="false">
      <c r="A7" s="7" t="s">
        <v>2942</v>
      </c>
      <c r="B7" s="7" t="s">
        <v>2935</v>
      </c>
      <c r="C7" s="7" t="s">
        <v>2661</v>
      </c>
      <c r="D7" s="7" t="s">
        <v>946</v>
      </c>
      <c r="E7" s="7" t="s">
        <v>2943</v>
      </c>
      <c r="F7" s="7" t="s">
        <v>2944</v>
      </c>
      <c r="G7" s="7" t="s">
        <v>2685</v>
      </c>
      <c r="H7" s="7" t="s">
        <v>2686</v>
      </c>
      <c r="I7" s="7" t="n">
        <v>62</v>
      </c>
      <c r="J7" s="7" t="n">
        <v>63</v>
      </c>
    </row>
    <row r="8" customFormat="false" ht="35.05" hidden="false" customHeight="false" outlineLevel="0" collapsed="false">
      <c r="A8" s="7" t="s">
        <v>2945</v>
      </c>
      <c r="B8" s="7" t="s">
        <v>2935</v>
      </c>
      <c r="C8" s="7" t="s">
        <v>2661</v>
      </c>
      <c r="D8" s="7" t="s">
        <v>2688</v>
      </c>
      <c r="E8" s="7" t="s">
        <v>2946</v>
      </c>
      <c r="F8" s="7" t="s">
        <v>2947</v>
      </c>
      <c r="G8" s="7" t="s">
        <v>2690</v>
      </c>
      <c r="H8" s="7" t="s">
        <v>2691</v>
      </c>
      <c r="I8" s="7" t="n">
        <v>62</v>
      </c>
      <c r="J8" s="7" t="n">
        <v>63</v>
      </c>
    </row>
    <row r="9" customFormat="false" ht="57.45" hidden="false" customHeight="false" outlineLevel="0" collapsed="false">
      <c r="A9" s="7" t="s">
        <v>2948</v>
      </c>
      <c r="B9" s="7" t="s">
        <v>2935</v>
      </c>
      <c r="C9" s="7" t="s">
        <v>2661</v>
      </c>
      <c r="D9" s="7" t="s">
        <v>2695</v>
      </c>
      <c r="E9" s="7" t="s">
        <v>2949</v>
      </c>
      <c r="F9" s="7" t="s">
        <v>2950</v>
      </c>
      <c r="G9" s="7" t="s">
        <v>2697</v>
      </c>
      <c r="H9" s="7" t="s">
        <v>2698</v>
      </c>
      <c r="I9" s="7" t="n">
        <v>62</v>
      </c>
      <c r="J9" s="7" t="n">
        <v>63</v>
      </c>
    </row>
    <row r="10" customFormat="false" ht="46.25" hidden="false" customHeight="false" outlineLevel="0" collapsed="false">
      <c r="A10" s="7" t="s">
        <v>2951</v>
      </c>
      <c r="B10" s="7" t="s">
        <v>2935</v>
      </c>
      <c r="C10" s="7" t="s">
        <v>2661</v>
      </c>
      <c r="D10" s="7" t="s">
        <v>2704</v>
      </c>
      <c r="E10" s="7" t="s">
        <v>2952</v>
      </c>
      <c r="F10" s="7" t="s">
        <v>2953</v>
      </c>
      <c r="G10" s="7" t="s">
        <v>2706</v>
      </c>
      <c r="H10" s="7" t="s">
        <v>2707</v>
      </c>
      <c r="I10" s="7" t="n">
        <v>62</v>
      </c>
      <c r="J10" s="7" t="n">
        <v>63</v>
      </c>
    </row>
    <row r="11" customFormat="false" ht="35.05" hidden="false" customHeight="false" outlineLevel="0" collapsed="false">
      <c r="A11" s="7" t="s">
        <v>2954</v>
      </c>
      <c r="B11" s="7" t="s">
        <v>2935</v>
      </c>
      <c r="C11" s="7" t="s">
        <v>2713</v>
      </c>
      <c r="D11" s="7" t="s">
        <v>2714</v>
      </c>
      <c r="E11" s="7" t="s">
        <v>240</v>
      </c>
      <c r="F11" s="7" t="s">
        <v>2712</v>
      </c>
      <c r="G11" s="7" t="s">
        <v>2716</v>
      </c>
      <c r="H11" s="7" t="s">
        <v>2717</v>
      </c>
      <c r="I11" s="7" t="n">
        <v>62</v>
      </c>
      <c r="J11" s="7" t="n">
        <v>63</v>
      </c>
    </row>
    <row r="12" customFormat="false" ht="35.05" hidden="false" customHeight="false" outlineLevel="0" collapsed="false">
      <c r="A12" s="7" t="s">
        <v>2955</v>
      </c>
      <c r="B12" s="7" t="s">
        <v>2935</v>
      </c>
      <c r="C12" s="7" t="s">
        <v>2719</v>
      </c>
      <c r="D12" s="7" t="s">
        <v>2720</v>
      </c>
      <c r="E12" s="7" t="s">
        <v>2956</v>
      </c>
      <c r="F12" s="7" t="s">
        <v>2957</v>
      </c>
      <c r="G12" s="7" t="s">
        <v>2722</v>
      </c>
      <c r="H12" s="7" t="s">
        <v>2723</v>
      </c>
      <c r="I12" s="7" t="n">
        <v>62</v>
      </c>
      <c r="J12" s="7" t="n">
        <v>63</v>
      </c>
    </row>
    <row r="13" customFormat="false" ht="35.05" hidden="false" customHeight="false" outlineLevel="0" collapsed="false">
      <c r="A13" s="7" t="s">
        <v>2958</v>
      </c>
      <c r="B13" s="7" t="s">
        <v>2935</v>
      </c>
      <c r="C13" s="7" t="s">
        <v>2661</v>
      </c>
      <c r="D13" s="7" t="s">
        <v>2726</v>
      </c>
      <c r="E13" s="7" t="s">
        <v>2959</v>
      </c>
      <c r="F13" s="7" t="s">
        <v>2960</v>
      </c>
      <c r="G13" s="7" t="s">
        <v>2728</v>
      </c>
      <c r="H13" s="7" t="s">
        <v>2729</v>
      </c>
      <c r="I13" s="7" t="n">
        <v>62</v>
      </c>
      <c r="J13" s="7" t="n">
        <v>63</v>
      </c>
    </row>
    <row r="14" customFormat="false" ht="35.05" hidden="false" customHeight="false" outlineLevel="0" collapsed="false">
      <c r="A14" s="7" t="s">
        <v>2961</v>
      </c>
      <c r="B14" s="7" t="s">
        <v>2935</v>
      </c>
      <c r="C14" s="7" t="s">
        <v>2661</v>
      </c>
      <c r="D14" s="7" t="s">
        <v>2732</v>
      </c>
      <c r="E14" s="7" t="s">
        <v>2962</v>
      </c>
      <c r="F14" s="7" t="s">
        <v>2963</v>
      </c>
      <c r="G14" s="7" t="s">
        <v>2734</v>
      </c>
      <c r="H14" s="7" t="s">
        <v>2735</v>
      </c>
      <c r="I14" s="7" t="n">
        <v>62</v>
      </c>
      <c r="J14" s="7" t="n">
        <v>63</v>
      </c>
    </row>
    <row r="15" customFormat="false" ht="35.05" hidden="false" customHeight="false" outlineLevel="0" collapsed="false">
      <c r="A15" s="7" t="s">
        <v>2964</v>
      </c>
      <c r="B15" s="7" t="s">
        <v>2935</v>
      </c>
      <c r="C15" s="7" t="s">
        <v>2719</v>
      </c>
      <c r="D15" s="7" t="s">
        <v>2740</v>
      </c>
      <c r="E15" s="7" t="s">
        <v>271</v>
      </c>
      <c r="F15" s="7" t="s">
        <v>2739</v>
      </c>
      <c r="G15" s="7" t="s">
        <v>2742</v>
      </c>
      <c r="H15" s="7" t="s">
        <v>2743</v>
      </c>
      <c r="I15" s="7" t="n">
        <v>62</v>
      </c>
      <c r="J15" s="7" t="n">
        <v>63</v>
      </c>
    </row>
    <row r="16" customFormat="false" ht="35.05" hidden="false" customHeight="false" outlineLevel="0" collapsed="false">
      <c r="A16" s="7" t="s">
        <v>2965</v>
      </c>
      <c r="B16" s="7" t="s">
        <v>2935</v>
      </c>
      <c r="C16" s="7" t="s">
        <v>2719</v>
      </c>
      <c r="D16" s="7" t="s">
        <v>2751</v>
      </c>
      <c r="E16" s="7" t="s">
        <v>291</v>
      </c>
      <c r="F16" s="7" t="s">
        <v>2750</v>
      </c>
      <c r="G16" s="7" t="s">
        <v>2753</v>
      </c>
      <c r="H16" s="7" t="s">
        <v>2754</v>
      </c>
      <c r="I16" s="7" t="n">
        <v>62</v>
      </c>
      <c r="J16" s="7" t="n">
        <v>63</v>
      </c>
    </row>
    <row r="17" customFormat="false" ht="35.05" hidden="false" customHeight="false" outlineLevel="0" collapsed="false">
      <c r="A17" s="7" t="s">
        <v>2966</v>
      </c>
      <c r="B17" s="7" t="s">
        <v>2935</v>
      </c>
      <c r="C17" s="7" t="s">
        <v>2719</v>
      </c>
      <c r="D17" s="7" t="s">
        <v>2756</v>
      </c>
      <c r="E17" s="7" t="s">
        <v>2967</v>
      </c>
      <c r="F17" s="7" t="s">
        <v>2968</v>
      </c>
      <c r="G17" s="7" t="s">
        <v>2758</v>
      </c>
      <c r="H17" s="7" t="s">
        <v>2759</v>
      </c>
      <c r="I17" s="7" t="n">
        <v>62</v>
      </c>
      <c r="J17" s="7" t="n">
        <v>63</v>
      </c>
    </row>
    <row r="18" customFormat="false" ht="35.05" hidden="false" customHeight="false" outlineLevel="0" collapsed="false">
      <c r="A18" s="7" t="s">
        <v>2969</v>
      </c>
      <c r="B18" s="7" t="s">
        <v>2935</v>
      </c>
      <c r="C18" s="7" t="s">
        <v>2719</v>
      </c>
      <c r="D18" s="7" t="s">
        <v>2762</v>
      </c>
      <c r="E18" s="7" t="s">
        <v>2970</v>
      </c>
      <c r="F18" s="7" t="s">
        <v>2971</v>
      </c>
      <c r="G18" s="7" t="s">
        <v>2764</v>
      </c>
      <c r="H18" s="7" t="s">
        <v>2765</v>
      </c>
      <c r="I18" s="7" t="n">
        <v>62</v>
      </c>
      <c r="J18" s="7" t="n">
        <v>63</v>
      </c>
    </row>
    <row r="19" customFormat="false" ht="35.05" hidden="false" customHeight="false" outlineLevel="0" collapsed="false">
      <c r="A19" s="7" t="s">
        <v>2972</v>
      </c>
      <c r="B19" s="7" t="s">
        <v>2935</v>
      </c>
      <c r="C19" s="7" t="s">
        <v>2719</v>
      </c>
      <c r="D19" s="7" t="s">
        <v>2768</v>
      </c>
      <c r="E19" s="7" t="s">
        <v>2973</v>
      </c>
      <c r="F19" s="7" t="s">
        <v>2974</v>
      </c>
      <c r="G19" s="7" t="s">
        <v>2770</v>
      </c>
      <c r="H19" s="7" t="s">
        <v>2771</v>
      </c>
      <c r="I19" s="7" t="n">
        <v>62</v>
      </c>
      <c r="J19" s="7" t="n">
        <v>63</v>
      </c>
    </row>
    <row r="20" customFormat="false" ht="35.05" hidden="false" customHeight="false" outlineLevel="0" collapsed="false">
      <c r="A20" s="7" t="s">
        <v>2975</v>
      </c>
      <c r="B20" s="7" t="s">
        <v>2935</v>
      </c>
      <c r="C20" s="7" t="s">
        <v>2661</v>
      </c>
      <c r="D20" s="7" t="s">
        <v>2774</v>
      </c>
      <c r="E20" s="7" t="s">
        <v>2976</v>
      </c>
      <c r="F20" s="7" t="s">
        <v>2977</v>
      </c>
      <c r="G20" s="7" t="s">
        <v>2776</v>
      </c>
      <c r="H20" s="7" t="s">
        <v>2777</v>
      </c>
      <c r="I20" s="7" t="n">
        <v>62</v>
      </c>
      <c r="J20" s="7" t="n">
        <v>63</v>
      </c>
    </row>
    <row r="21" customFormat="false" ht="35.05" hidden="false" customHeight="false" outlineLevel="0" collapsed="false">
      <c r="A21" s="7" t="s">
        <v>2978</v>
      </c>
      <c r="B21" s="7" t="s">
        <v>2935</v>
      </c>
      <c r="C21" s="7" t="s">
        <v>2719</v>
      </c>
      <c r="D21" s="7" t="s">
        <v>1993</v>
      </c>
      <c r="E21" s="7" t="s">
        <v>2979</v>
      </c>
      <c r="F21" s="7" t="s">
        <v>2980</v>
      </c>
      <c r="G21" s="7" t="s">
        <v>2780</v>
      </c>
      <c r="H21" s="7" t="s">
        <v>2781</v>
      </c>
      <c r="I21" s="7" t="n">
        <v>62</v>
      </c>
      <c r="J21" s="7" t="n">
        <v>63</v>
      </c>
    </row>
    <row r="22" customFormat="false" ht="35.05" hidden="false" customHeight="false" outlineLevel="0" collapsed="false">
      <c r="A22" s="7" t="s">
        <v>2981</v>
      </c>
      <c r="B22" s="7" t="s">
        <v>2935</v>
      </c>
      <c r="C22" s="7" t="s">
        <v>2719</v>
      </c>
      <c r="D22" s="7" t="s">
        <v>2784</v>
      </c>
      <c r="E22" s="7" t="s">
        <v>2982</v>
      </c>
      <c r="F22" s="7" t="s">
        <v>2983</v>
      </c>
      <c r="G22" s="7" t="s">
        <v>2786</v>
      </c>
      <c r="H22" s="7" t="s">
        <v>2787</v>
      </c>
      <c r="I22" s="7" t="n">
        <v>62</v>
      </c>
      <c r="J22" s="7" t="n">
        <v>63</v>
      </c>
    </row>
    <row r="23" customFormat="false" ht="35.05" hidden="false" customHeight="false" outlineLevel="0" collapsed="false">
      <c r="A23" s="7" t="s">
        <v>2984</v>
      </c>
      <c r="B23" s="7" t="s">
        <v>2935</v>
      </c>
      <c r="C23" s="7" t="s">
        <v>2719</v>
      </c>
      <c r="D23" s="7" t="s">
        <v>2791</v>
      </c>
      <c r="E23" s="7" t="s">
        <v>2985</v>
      </c>
      <c r="F23" s="7" t="s">
        <v>2986</v>
      </c>
      <c r="G23" s="7" t="s">
        <v>2793</v>
      </c>
      <c r="H23" s="7" t="s">
        <v>2794</v>
      </c>
      <c r="I23" s="7" t="n">
        <v>62</v>
      </c>
      <c r="J23" s="7" t="n">
        <v>63</v>
      </c>
    </row>
    <row r="24" customFormat="false" ht="35.05" hidden="false" customHeight="false" outlineLevel="0" collapsed="false">
      <c r="A24" s="7" t="s">
        <v>2987</v>
      </c>
      <c r="B24" s="7" t="s">
        <v>2935</v>
      </c>
      <c r="C24" s="7" t="s">
        <v>2661</v>
      </c>
      <c r="D24" s="7" t="s">
        <v>2797</v>
      </c>
      <c r="E24" s="7" t="s">
        <v>348</v>
      </c>
      <c r="F24" s="7" t="s">
        <v>2796</v>
      </c>
      <c r="G24" s="7" t="s">
        <v>2799</v>
      </c>
      <c r="H24" s="7" t="s">
        <v>2800</v>
      </c>
      <c r="I24" s="7" t="n">
        <v>62</v>
      </c>
      <c r="J24" s="7" t="n">
        <v>63</v>
      </c>
    </row>
    <row r="25" customFormat="false" ht="46.25" hidden="false" customHeight="false" outlineLevel="0" collapsed="false">
      <c r="A25" s="7" t="s">
        <v>2988</v>
      </c>
      <c r="B25" s="7" t="s">
        <v>2935</v>
      </c>
      <c r="C25" s="7" t="s">
        <v>2713</v>
      </c>
      <c r="D25" s="7" t="s">
        <v>2802</v>
      </c>
      <c r="E25" s="7" t="s">
        <v>2989</v>
      </c>
      <c r="F25" s="7" t="s">
        <v>2990</v>
      </c>
      <c r="G25" s="7" t="s">
        <v>2804</v>
      </c>
      <c r="H25" s="7" t="s">
        <v>2805</v>
      </c>
      <c r="I25" s="7" t="n">
        <v>62</v>
      </c>
      <c r="J25" s="7" t="n">
        <v>63</v>
      </c>
    </row>
    <row r="26" customFormat="false" ht="35.05" hidden="false" customHeight="false" outlineLevel="0" collapsed="false">
      <c r="A26" s="7" t="s">
        <v>2991</v>
      </c>
      <c r="B26" s="7" t="s">
        <v>2935</v>
      </c>
      <c r="C26" s="7" t="s">
        <v>2713</v>
      </c>
      <c r="D26" s="7" t="s">
        <v>2809</v>
      </c>
      <c r="E26" s="7" t="s">
        <v>363</v>
      </c>
      <c r="F26" s="7" t="s">
        <v>2808</v>
      </c>
      <c r="G26" s="7" t="s">
        <v>2811</v>
      </c>
      <c r="H26" s="7" t="s">
        <v>2812</v>
      </c>
      <c r="I26" s="7" t="n">
        <v>62</v>
      </c>
      <c r="J26" s="7" t="n">
        <v>63</v>
      </c>
    </row>
    <row r="27" customFormat="false" ht="46.25" hidden="false" customHeight="false" outlineLevel="0" collapsed="false">
      <c r="A27" s="7" t="s">
        <v>2992</v>
      </c>
      <c r="B27" s="7" t="s">
        <v>2935</v>
      </c>
      <c r="C27" s="7" t="s">
        <v>2719</v>
      </c>
      <c r="D27" s="7" t="s">
        <v>2814</v>
      </c>
      <c r="E27" s="7" t="s">
        <v>369</v>
      </c>
      <c r="F27" s="7" t="s">
        <v>2813</v>
      </c>
      <c r="G27" s="7" t="s">
        <v>2816</v>
      </c>
      <c r="H27" s="7" t="s">
        <v>2817</v>
      </c>
      <c r="I27" s="7" t="n">
        <v>62</v>
      </c>
      <c r="J27" s="7" t="n">
        <v>63</v>
      </c>
    </row>
    <row r="28" customFormat="false" ht="35.05" hidden="false" customHeight="false" outlineLevel="0" collapsed="false">
      <c r="A28" s="7" t="s">
        <v>2993</v>
      </c>
      <c r="B28" s="7" t="s">
        <v>2935</v>
      </c>
      <c r="C28" s="7" t="s">
        <v>2719</v>
      </c>
      <c r="D28" s="7" t="s">
        <v>2819</v>
      </c>
      <c r="E28" s="7" t="s">
        <v>373</v>
      </c>
      <c r="F28" s="7" t="s">
        <v>2818</v>
      </c>
      <c r="G28" s="7" t="s">
        <v>2821</v>
      </c>
      <c r="H28" s="7" t="s">
        <v>2822</v>
      </c>
      <c r="I28" s="7" t="n">
        <v>62</v>
      </c>
      <c r="J28" s="7" t="n">
        <v>63</v>
      </c>
    </row>
    <row r="29" customFormat="false" ht="23.85" hidden="false" customHeight="false" outlineLevel="0" collapsed="false">
      <c r="A29" s="7" t="s">
        <v>2994</v>
      </c>
      <c r="B29" s="7" t="s">
        <v>2935</v>
      </c>
      <c r="C29" s="7" t="s">
        <v>2719</v>
      </c>
      <c r="D29" s="7" t="s">
        <v>2824</v>
      </c>
      <c r="E29" s="7" t="s">
        <v>376</v>
      </c>
      <c r="F29" s="7" t="s">
        <v>2823</v>
      </c>
      <c r="G29" s="7" t="s">
        <v>2826</v>
      </c>
      <c r="H29" s="7" t="s">
        <v>2827</v>
      </c>
      <c r="I29" s="7" t="n">
        <v>62</v>
      </c>
      <c r="J29" s="7" t="n">
        <v>63</v>
      </c>
    </row>
    <row r="30" customFormat="false" ht="46.25" hidden="false" customHeight="false" outlineLevel="0" collapsed="false">
      <c r="A30" s="7" t="s">
        <v>2995</v>
      </c>
      <c r="B30" s="7" t="s">
        <v>2935</v>
      </c>
      <c r="C30" s="7" t="s">
        <v>2661</v>
      </c>
      <c r="D30" s="7" t="s">
        <v>2835</v>
      </c>
      <c r="E30" s="7" t="s">
        <v>2996</v>
      </c>
      <c r="F30" s="7" t="s">
        <v>2997</v>
      </c>
      <c r="G30" s="7" t="s">
        <v>2837</v>
      </c>
      <c r="H30" s="7" t="s">
        <v>2838</v>
      </c>
      <c r="I30" s="7" t="n">
        <v>62</v>
      </c>
      <c r="J30" s="7" t="n">
        <v>63</v>
      </c>
    </row>
    <row r="31" customFormat="false" ht="35.05" hidden="false" customHeight="false" outlineLevel="0" collapsed="false">
      <c r="A31" s="7" t="s">
        <v>2998</v>
      </c>
      <c r="B31" s="7" t="s">
        <v>2935</v>
      </c>
      <c r="C31" s="7" t="s">
        <v>2713</v>
      </c>
      <c r="D31" s="7" t="s">
        <v>689</v>
      </c>
      <c r="E31" s="7" t="s">
        <v>405</v>
      </c>
      <c r="F31" s="7" t="s">
        <v>2842</v>
      </c>
      <c r="G31" s="7" t="s">
        <v>2843</v>
      </c>
      <c r="H31" s="7" t="s">
        <v>2844</v>
      </c>
      <c r="I31" s="7" t="n">
        <v>62</v>
      </c>
      <c r="J31" s="7" t="n">
        <v>63</v>
      </c>
    </row>
    <row r="32" customFormat="false" ht="46.25" hidden="false" customHeight="false" outlineLevel="0" collapsed="false">
      <c r="A32" s="7" t="s">
        <v>2999</v>
      </c>
      <c r="B32" s="7" t="s">
        <v>2935</v>
      </c>
      <c r="C32" s="7" t="s">
        <v>2719</v>
      </c>
      <c r="D32" s="7" t="s">
        <v>2846</v>
      </c>
      <c r="E32" s="7" t="s">
        <v>3000</v>
      </c>
      <c r="F32" s="7" t="s">
        <v>3001</v>
      </c>
      <c r="G32" s="7" t="s">
        <v>2848</v>
      </c>
      <c r="H32" s="7" t="s">
        <v>2849</v>
      </c>
      <c r="I32" s="7" t="n">
        <v>62</v>
      </c>
      <c r="J32" s="7" t="n">
        <v>63</v>
      </c>
    </row>
    <row r="33" customFormat="false" ht="46.25" hidden="false" customHeight="false" outlineLevel="0" collapsed="false">
      <c r="A33" s="7" t="s">
        <v>3002</v>
      </c>
      <c r="B33" s="7" t="s">
        <v>2935</v>
      </c>
      <c r="C33" s="7" t="s">
        <v>2719</v>
      </c>
      <c r="D33" s="7" t="s">
        <v>2272</v>
      </c>
      <c r="E33" s="7" t="s">
        <v>3003</v>
      </c>
      <c r="F33" s="7" t="s">
        <v>3004</v>
      </c>
      <c r="G33" s="7" t="s">
        <v>2853</v>
      </c>
      <c r="H33" s="7" t="s">
        <v>2854</v>
      </c>
      <c r="I33" s="7" t="n">
        <v>62</v>
      </c>
      <c r="J33" s="7" t="n">
        <v>63</v>
      </c>
    </row>
    <row r="34" customFormat="false" ht="35.05" hidden="false" customHeight="false" outlineLevel="0" collapsed="false">
      <c r="A34" s="7" t="s">
        <v>3005</v>
      </c>
      <c r="B34" s="7" t="s">
        <v>2935</v>
      </c>
      <c r="C34" s="7" t="s">
        <v>2661</v>
      </c>
      <c r="D34" s="7" t="s">
        <v>2863</v>
      </c>
      <c r="E34" s="7" t="s">
        <v>3006</v>
      </c>
      <c r="F34" s="7" t="s">
        <v>3007</v>
      </c>
      <c r="G34" s="7" t="s">
        <v>2865</v>
      </c>
      <c r="H34" s="7" t="s">
        <v>2866</v>
      </c>
      <c r="I34" s="7" t="n">
        <v>62</v>
      </c>
      <c r="J34" s="7" t="n">
        <v>63</v>
      </c>
    </row>
    <row r="35" customFormat="false" ht="46.25" hidden="false" customHeight="false" outlineLevel="0" collapsed="false">
      <c r="A35" s="7" t="s">
        <v>3008</v>
      </c>
      <c r="B35" s="7" t="s">
        <v>2935</v>
      </c>
      <c r="C35" s="7" t="s">
        <v>2661</v>
      </c>
      <c r="D35" s="7" t="s">
        <v>2869</v>
      </c>
      <c r="E35" s="7" t="s">
        <v>3009</v>
      </c>
      <c r="F35" s="7" t="s">
        <v>3010</v>
      </c>
      <c r="G35" s="7" t="s">
        <v>2871</v>
      </c>
      <c r="H35" s="7" t="s">
        <v>2872</v>
      </c>
      <c r="I35" s="7" t="n">
        <v>62</v>
      </c>
      <c r="J35" s="7" t="n">
        <v>63</v>
      </c>
    </row>
    <row r="36" customFormat="false" ht="46.25" hidden="false" customHeight="false" outlineLevel="0" collapsed="false">
      <c r="A36" s="7" t="s">
        <v>3011</v>
      </c>
      <c r="B36" s="7" t="s">
        <v>2935</v>
      </c>
      <c r="C36" s="7" t="s">
        <v>2661</v>
      </c>
      <c r="D36" s="7" t="s">
        <v>2875</v>
      </c>
      <c r="E36" s="7" t="s">
        <v>3012</v>
      </c>
      <c r="F36" s="7" t="s">
        <v>3013</v>
      </c>
      <c r="G36" s="7" t="s">
        <v>2877</v>
      </c>
      <c r="H36" s="7" t="s">
        <v>2878</v>
      </c>
      <c r="I36" s="7" t="n">
        <v>62</v>
      </c>
      <c r="J36" s="7" t="n">
        <v>63</v>
      </c>
    </row>
    <row r="37" customFormat="false" ht="46.25" hidden="false" customHeight="false" outlineLevel="0" collapsed="false">
      <c r="A37" s="7" t="s">
        <v>3014</v>
      </c>
      <c r="B37" s="7" t="s">
        <v>2935</v>
      </c>
      <c r="C37" s="7" t="s">
        <v>2661</v>
      </c>
      <c r="D37" s="7" t="s">
        <v>2881</v>
      </c>
      <c r="E37" s="7" t="s">
        <v>3015</v>
      </c>
      <c r="F37" s="7" t="s">
        <v>3016</v>
      </c>
      <c r="G37" s="7" t="s">
        <v>2883</v>
      </c>
      <c r="H37" s="7" t="s">
        <v>2884</v>
      </c>
      <c r="I37" s="7" t="n">
        <v>62</v>
      </c>
      <c r="J37" s="7" t="n">
        <v>63</v>
      </c>
    </row>
    <row r="38" customFormat="false" ht="35.05" hidden="false" customHeight="false" outlineLevel="0" collapsed="false">
      <c r="A38" s="7" t="s">
        <v>3017</v>
      </c>
      <c r="B38" s="7" t="s">
        <v>2935</v>
      </c>
      <c r="C38" s="7" t="s">
        <v>2713</v>
      </c>
      <c r="D38" s="7" t="s">
        <v>2903</v>
      </c>
      <c r="E38" s="7" t="s">
        <v>515</v>
      </c>
      <c r="F38" s="7" t="s">
        <v>2902</v>
      </c>
      <c r="G38" s="7" t="s">
        <v>2905</v>
      </c>
      <c r="H38" s="7" t="s">
        <v>2906</v>
      </c>
      <c r="I38" s="7" t="n">
        <v>62</v>
      </c>
      <c r="J38" s="7" t="n">
        <v>63</v>
      </c>
    </row>
    <row r="39" customFormat="false" ht="35.05" hidden="false" customHeight="false" outlineLevel="0" collapsed="false">
      <c r="A39" s="7" t="s">
        <v>3018</v>
      </c>
      <c r="B39" s="7" t="s">
        <v>2935</v>
      </c>
      <c r="C39" s="7" t="s">
        <v>2713</v>
      </c>
      <c r="D39" s="7" t="s">
        <v>2908</v>
      </c>
      <c r="E39" s="7" t="s">
        <v>519</v>
      </c>
      <c r="F39" s="7" t="s">
        <v>2907</v>
      </c>
      <c r="G39" s="7" t="s">
        <v>2910</v>
      </c>
      <c r="H39" s="7" t="s">
        <v>2911</v>
      </c>
      <c r="I39" s="7" t="n">
        <v>62</v>
      </c>
      <c r="J39" s="7" t="n">
        <v>63</v>
      </c>
    </row>
    <row r="40" customFormat="false" ht="35.05" hidden="false" customHeight="false" outlineLevel="0" collapsed="false">
      <c r="A40" s="7" t="s">
        <v>3019</v>
      </c>
      <c r="B40" s="7" t="s">
        <v>2935</v>
      </c>
      <c r="C40" s="7" t="s">
        <v>2713</v>
      </c>
      <c r="D40" s="7" t="s">
        <v>2913</v>
      </c>
      <c r="E40" s="7" t="s">
        <v>524</v>
      </c>
      <c r="F40" s="7" t="s">
        <v>2912</v>
      </c>
      <c r="G40" s="7" t="s">
        <v>2915</v>
      </c>
      <c r="H40" s="7" t="s">
        <v>2916</v>
      </c>
      <c r="I40" s="7" t="n">
        <v>62</v>
      </c>
      <c r="J40" s="7" t="n">
        <v>63</v>
      </c>
    </row>
    <row r="41" customFormat="false" ht="35.05" hidden="false" customHeight="false" outlineLevel="0" collapsed="false">
      <c r="A41" s="7" t="s">
        <v>3020</v>
      </c>
      <c r="B41" s="7" t="s">
        <v>2935</v>
      </c>
      <c r="C41" s="7" t="s">
        <v>2713</v>
      </c>
      <c r="D41" s="7" t="s">
        <v>2918</v>
      </c>
      <c r="E41" s="7" t="s">
        <v>528</v>
      </c>
      <c r="F41" s="7" t="s">
        <v>2917</v>
      </c>
      <c r="G41" s="7" t="s">
        <v>2920</v>
      </c>
      <c r="H41" s="7" t="s">
        <v>2921</v>
      </c>
      <c r="I41" s="7" t="n">
        <v>62</v>
      </c>
      <c r="J41" s="7" t="n">
        <v>63</v>
      </c>
    </row>
    <row r="42" customFormat="false" ht="35.05" hidden="false" customHeight="false" outlineLevel="0" collapsed="false">
      <c r="A42" s="7" t="s">
        <v>3021</v>
      </c>
      <c r="B42" s="7" t="s">
        <v>2935</v>
      </c>
      <c r="C42" s="7" t="s">
        <v>2713</v>
      </c>
      <c r="D42" s="7" t="s">
        <v>2923</v>
      </c>
      <c r="E42" s="7" t="s">
        <v>532</v>
      </c>
      <c r="F42" s="7" t="s">
        <v>2922</v>
      </c>
      <c r="G42" s="7" t="s">
        <v>2925</v>
      </c>
      <c r="H42" s="7" t="s">
        <v>2926</v>
      </c>
      <c r="I42" s="7" t="n">
        <v>62</v>
      </c>
      <c r="J42" s="7" t="n">
        <v>63</v>
      </c>
    </row>
    <row r="43" customFormat="false" ht="35.05" hidden="false" customHeight="false" outlineLevel="0" collapsed="false">
      <c r="A43" s="7" t="s">
        <v>3022</v>
      </c>
      <c r="B43" s="7" t="s">
        <v>3023</v>
      </c>
      <c r="C43" s="7" t="s">
        <v>2713</v>
      </c>
      <c r="D43" s="7" t="s">
        <v>3024</v>
      </c>
      <c r="E43" s="7" t="s">
        <v>357</v>
      </c>
      <c r="F43" s="7"/>
      <c r="G43" s="7" t="s">
        <v>3025</v>
      </c>
      <c r="H43" s="7" t="s">
        <v>3026</v>
      </c>
      <c r="I43" s="7"/>
      <c r="J43" s="7"/>
    </row>
    <row r="44" customFormat="false" ht="23.85" hidden="false" customHeight="false" outlineLevel="0" collapsed="false">
      <c r="A44" s="7" t="s">
        <v>3027</v>
      </c>
      <c r="B44" s="7" t="s">
        <v>3023</v>
      </c>
      <c r="C44" s="7" t="s">
        <v>3028</v>
      </c>
      <c r="D44" s="7"/>
      <c r="E44" s="7" t="s">
        <v>2962</v>
      </c>
      <c r="F44" s="7"/>
      <c r="G44" s="7" t="s">
        <v>3029</v>
      </c>
      <c r="H44" s="7" t="s">
        <v>3030</v>
      </c>
      <c r="I44" s="7"/>
      <c r="J44" s="7"/>
    </row>
    <row r="45" customFormat="false" ht="23.85" hidden="false" customHeight="false" outlineLevel="0" collapsed="false">
      <c r="A45" s="7" t="s">
        <v>3031</v>
      </c>
      <c r="B45" s="7" t="s">
        <v>3032</v>
      </c>
      <c r="C45" s="7" t="s">
        <v>2713</v>
      </c>
      <c r="D45" s="7"/>
      <c r="E45" s="7" t="s">
        <v>3033</v>
      </c>
      <c r="F45" s="7"/>
      <c r="G45" s="7" t="s">
        <v>3034</v>
      </c>
      <c r="H45" s="7" t="s">
        <v>3035</v>
      </c>
      <c r="I45" s="7"/>
      <c r="J45" s="7"/>
    </row>
    <row r="46" customFormat="false" ht="23.85" hidden="false" customHeight="false" outlineLevel="0" collapsed="false">
      <c r="A46" s="7" t="s">
        <v>3036</v>
      </c>
      <c r="B46" s="7" t="s">
        <v>3023</v>
      </c>
      <c r="C46" s="7" t="s">
        <v>3028</v>
      </c>
      <c r="D46" s="7"/>
      <c r="E46" s="7" t="s">
        <v>2967</v>
      </c>
      <c r="F46" s="7"/>
      <c r="G46" s="7" t="s">
        <v>3037</v>
      </c>
      <c r="H46" s="7" t="s">
        <v>3038</v>
      </c>
      <c r="I46" s="7"/>
      <c r="J46" s="7"/>
    </row>
  </sheetData>
  <autoFilter ref="A4:J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4"/>
    <col collapsed="false" customWidth="true" hidden="false" outlineLevel="0" max="4" min="4" style="0" width="8"/>
    <col collapsed="false" customWidth="true" hidden="false" outlineLevel="0" max="5" min="5" style="0" width="30"/>
    <col collapsed="false" customWidth="true" hidden="false" outlineLevel="0" max="6" min="6" style="0" width="14"/>
    <col collapsed="false" customWidth="true" hidden="false" outlineLevel="0" max="7" min="7" style="0" width="70"/>
  </cols>
  <sheetData>
    <row r="1" customFormat="false" ht="17.35" hidden="false" customHeight="false" outlineLevel="0" collapsed="false">
      <c r="A1" s="1" t="s">
        <v>3039</v>
      </c>
    </row>
    <row r="2" customFormat="false" ht="15" hidden="false" customHeight="false" outlineLevel="0" collapsed="false">
      <c r="A2" s="2" t="s">
        <v>3040</v>
      </c>
    </row>
    <row r="4" customFormat="false" ht="31.5" hidden="false" customHeight="true" outlineLevel="0" collapsed="false">
      <c r="A4" s="6" t="s">
        <v>118</v>
      </c>
      <c r="B4" s="6" t="s">
        <v>3041</v>
      </c>
      <c r="C4" s="6" t="s">
        <v>3042</v>
      </c>
      <c r="D4" s="6" t="s">
        <v>3043</v>
      </c>
      <c r="E4" s="6" t="s">
        <v>3044</v>
      </c>
      <c r="F4" s="6" t="s">
        <v>3045</v>
      </c>
      <c r="G4" s="6" t="s">
        <v>3046</v>
      </c>
    </row>
    <row r="5" customFormat="false" ht="15" hidden="false" customHeight="false" outlineLevel="0" collapsed="false">
      <c r="A5" s="7" t="s">
        <v>3047</v>
      </c>
      <c r="B5" s="7" t="s">
        <v>1035</v>
      </c>
      <c r="C5" s="7" t="s">
        <v>657</v>
      </c>
      <c r="D5" s="7" t="s">
        <v>3048</v>
      </c>
      <c r="E5" s="7" t="s">
        <v>1348</v>
      </c>
      <c r="F5" s="7" t="s">
        <v>669</v>
      </c>
      <c r="G5" s="7" t="s">
        <v>3049</v>
      </c>
    </row>
    <row r="6" customFormat="false" ht="15" hidden="false" customHeight="false" outlineLevel="0" collapsed="false">
      <c r="A6" s="7" t="s">
        <v>3050</v>
      </c>
      <c r="B6" s="7" t="s">
        <v>549</v>
      </c>
      <c r="C6" s="7" t="s">
        <v>550</v>
      </c>
      <c r="D6" s="7" t="s">
        <v>3048</v>
      </c>
      <c r="E6" s="7" t="s">
        <v>1353</v>
      </c>
      <c r="F6" s="7" t="s">
        <v>1354</v>
      </c>
      <c r="G6" s="7" t="s">
        <v>3051</v>
      </c>
    </row>
    <row r="7" customFormat="false" ht="23.85" hidden="false" customHeight="false" outlineLevel="0" collapsed="false">
      <c r="A7" s="7" t="s">
        <v>3052</v>
      </c>
      <c r="B7" s="7" t="s">
        <v>1359</v>
      </c>
      <c r="C7" s="7" t="s">
        <v>1360</v>
      </c>
      <c r="D7" s="7" t="s">
        <v>3048</v>
      </c>
      <c r="E7" s="7" t="s">
        <v>3053</v>
      </c>
      <c r="F7" s="7" t="s">
        <v>3054</v>
      </c>
      <c r="G7" s="7" t="s">
        <v>3055</v>
      </c>
    </row>
    <row r="8" customFormat="false" ht="46.25" hidden="false" customHeight="false" outlineLevel="0" collapsed="false">
      <c r="A8" s="7" t="s">
        <v>3056</v>
      </c>
      <c r="B8" s="7" t="s">
        <v>666</v>
      </c>
      <c r="C8" s="7" t="s">
        <v>683</v>
      </c>
      <c r="D8" s="7" t="s">
        <v>3048</v>
      </c>
      <c r="E8" s="7" t="s">
        <v>3057</v>
      </c>
      <c r="F8" s="7" t="s">
        <v>3058</v>
      </c>
      <c r="G8" s="7" t="s">
        <v>3059</v>
      </c>
    </row>
    <row r="9" customFormat="false" ht="15" hidden="false" customHeight="false" outlineLevel="0" collapsed="false">
      <c r="A9" s="7" t="s">
        <v>3060</v>
      </c>
      <c r="B9" s="7" t="s">
        <v>1412</v>
      </c>
      <c r="C9" s="7" t="s">
        <v>1413</v>
      </c>
      <c r="D9" s="7" t="s">
        <v>3048</v>
      </c>
      <c r="E9" s="7" t="s">
        <v>1418</v>
      </c>
      <c r="F9" s="7" t="s">
        <v>1419</v>
      </c>
      <c r="G9" s="7" t="s">
        <v>3061</v>
      </c>
    </row>
    <row r="10" customFormat="false" ht="57.45" hidden="false" customHeight="false" outlineLevel="0" collapsed="false">
      <c r="A10" s="7" t="s">
        <v>3062</v>
      </c>
      <c r="B10" s="7" t="s">
        <v>562</v>
      </c>
      <c r="C10" s="7" t="s">
        <v>563</v>
      </c>
      <c r="D10" s="7" t="s">
        <v>3048</v>
      </c>
      <c r="E10" s="7" t="s">
        <v>3063</v>
      </c>
      <c r="F10" s="7" t="s">
        <v>3064</v>
      </c>
      <c r="G10" s="7" t="s">
        <v>3065</v>
      </c>
    </row>
    <row r="11" customFormat="false" ht="15" hidden="false" customHeight="false" outlineLevel="0" collapsed="false">
      <c r="A11" s="7" t="s">
        <v>3066</v>
      </c>
      <c r="B11" s="7" t="s">
        <v>1461</v>
      </c>
      <c r="C11" s="7" t="s">
        <v>579</v>
      </c>
      <c r="D11" s="7" t="s">
        <v>3048</v>
      </c>
      <c r="E11" s="7" t="s">
        <v>1465</v>
      </c>
      <c r="F11" s="7" t="s">
        <v>1466</v>
      </c>
      <c r="G11" s="7" t="s">
        <v>3067</v>
      </c>
    </row>
    <row r="12" customFormat="false" ht="23.85" hidden="false" customHeight="false" outlineLevel="0" collapsed="false">
      <c r="A12" s="7" t="s">
        <v>3068</v>
      </c>
      <c r="B12" s="7" t="s">
        <v>1074</v>
      </c>
      <c r="C12" s="7" t="s">
        <v>588</v>
      </c>
      <c r="D12" s="7" t="s">
        <v>3048</v>
      </c>
      <c r="E12" s="7" t="s">
        <v>3069</v>
      </c>
      <c r="F12" s="7" t="s">
        <v>3070</v>
      </c>
      <c r="G12" s="7" t="s">
        <v>3071</v>
      </c>
    </row>
    <row r="13" customFormat="false" ht="46.25" hidden="false" customHeight="false" outlineLevel="0" collapsed="false">
      <c r="A13" s="7" t="s">
        <v>3072</v>
      </c>
      <c r="B13" s="7" t="s">
        <v>573</v>
      </c>
      <c r="C13" s="7" t="s">
        <v>574</v>
      </c>
      <c r="D13" s="7" t="s">
        <v>3048</v>
      </c>
      <c r="E13" s="7" t="s">
        <v>3073</v>
      </c>
      <c r="F13" s="7" t="s">
        <v>3074</v>
      </c>
      <c r="G13" s="7" t="s">
        <v>3075</v>
      </c>
    </row>
    <row r="14" customFormat="false" ht="91" hidden="false" customHeight="false" outlineLevel="0" collapsed="false">
      <c r="A14" s="7" t="s">
        <v>3076</v>
      </c>
      <c r="B14" s="7" t="s">
        <v>582</v>
      </c>
      <c r="C14" s="7" t="s">
        <v>583</v>
      </c>
      <c r="D14" s="7" t="s">
        <v>3048</v>
      </c>
      <c r="E14" s="7" t="s">
        <v>3077</v>
      </c>
      <c r="F14" s="7" t="s">
        <v>3078</v>
      </c>
      <c r="G14" s="7" t="s">
        <v>3079</v>
      </c>
    </row>
    <row r="15" customFormat="false" ht="23.85" hidden="false" customHeight="false" outlineLevel="0" collapsed="false">
      <c r="A15" s="7" t="s">
        <v>3080</v>
      </c>
      <c r="B15" s="7" t="s">
        <v>1564</v>
      </c>
      <c r="C15" s="7" t="s">
        <v>599</v>
      </c>
      <c r="D15" s="7" t="s">
        <v>3048</v>
      </c>
      <c r="E15" s="7" t="s">
        <v>3081</v>
      </c>
      <c r="F15" s="7" t="s">
        <v>3082</v>
      </c>
      <c r="G15" s="7" t="s">
        <v>3083</v>
      </c>
    </row>
    <row r="16" customFormat="false" ht="35.05" hidden="false" customHeight="false" outlineLevel="0" collapsed="false">
      <c r="A16" s="7" t="s">
        <v>3084</v>
      </c>
      <c r="B16" s="7" t="s">
        <v>3085</v>
      </c>
      <c r="C16" s="7" t="s">
        <v>3086</v>
      </c>
      <c r="D16" s="7" t="s">
        <v>3087</v>
      </c>
      <c r="E16" s="7" t="s">
        <v>3088</v>
      </c>
      <c r="F16" s="7" t="s">
        <v>3089</v>
      </c>
      <c r="G16" s="7" t="s">
        <v>3090</v>
      </c>
    </row>
    <row r="17" customFormat="false" ht="68.65" hidden="false" customHeight="false" outlineLevel="0" collapsed="false">
      <c r="A17" s="7" t="s">
        <v>3091</v>
      </c>
      <c r="B17" s="7" t="s">
        <v>3092</v>
      </c>
      <c r="C17" s="7" t="s">
        <v>3093</v>
      </c>
      <c r="D17" s="7" t="s">
        <v>3087</v>
      </c>
      <c r="E17" s="7" t="s">
        <v>3094</v>
      </c>
      <c r="F17" s="7" t="s">
        <v>3095</v>
      </c>
      <c r="G17" s="7" t="s">
        <v>3096</v>
      </c>
    </row>
    <row r="18" customFormat="false" ht="35.05" hidden="false" customHeight="false" outlineLevel="0" collapsed="false">
      <c r="A18" s="7" t="s">
        <v>3097</v>
      </c>
      <c r="B18" s="7" t="s">
        <v>3098</v>
      </c>
      <c r="C18" s="7" t="s">
        <v>3099</v>
      </c>
      <c r="D18" s="7" t="s">
        <v>3087</v>
      </c>
      <c r="E18" s="7" t="s">
        <v>1705</v>
      </c>
      <c r="F18" s="7" t="s">
        <v>841</v>
      </c>
      <c r="G18" s="7" t="s">
        <v>3100</v>
      </c>
    </row>
    <row r="19" customFormat="false" ht="35.05" hidden="false" customHeight="false" outlineLevel="0" collapsed="false">
      <c r="A19" s="7" t="s">
        <v>3101</v>
      </c>
      <c r="B19" s="7" t="s">
        <v>3102</v>
      </c>
      <c r="C19" s="7" t="s">
        <v>3103</v>
      </c>
      <c r="D19" s="7" t="s">
        <v>3087</v>
      </c>
      <c r="E19" s="7" t="s">
        <v>3104</v>
      </c>
      <c r="F19" s="7" t="s">
        <v>3105</v>
      </c>
      <c r="G19" s="7" t="s">
        <v>3106</v>
      </c>
    </row>
    <row r="20" customFormat="false" ht="23.85" hidden="false" customHeight="false" outlineLevel="0" collapsed="false">
      <c r="A20" s="7" t="s">
        <v>3107</v>
      </c>
      <c r="B20" s="7" t="s">
        <v>3108</v>
      </c>
      <c r="C20" s="7" t="s">
        <v>3109</v>
      </c>
      <c r="D20" s="7" t="s">
        <v>3087</v>
      </c>
      <c r="E20" s="7" t="s">
        <v>1764</v>
      </c>
      <c r="F20" s="7" t="s">
        <v>852</v>
      </c>
      <c r="G20" s="7" t="s">
        <v>3110</v>
      </c>
    </row>
    <row r="21" customFormat="false" ht="79.85" hidden="false" customHeight="false" outlineLevel="0" collapsed="false">
      <c r="A21" s="7" t="s">
        <v>3101</v>
      </c>
      <c r="B21" s="7" t="s">
        <v>3111</v>
      </c>
      <c r="C21" s="7" t="s">
        <v>3112</v>
      </c>
      <c r="D21" s="7" t="s">
        <v>3087</v>
      </c>
      <c r="E21" s="7" t="s">
        <v>1789</v>
      </c>
      <c r="F21" s="7" t="s">
        <v>856</v>
      </c>
      <c r="G21" s="7" t="s">
        <v>3106</v>
      </c>
    </row>
    <row r="22" customFormat="false" ht="23.85" hidden="false" customHeight="false" outlineLevel="0" collapsed="false">
      <c r="A22" s="7" t="s">
        <v>3113</v>
      </c>
      <c r="B22" s="7" t="s">
        <v>831</v>
      </c>
      <c r="C22" s="7" t="s">
        <v>888</v>
      </c>
      <c r="D22" s="7" t="s">
        <v>3048</v>
      </c>
      <c r="E22" s="7" t="s">
        <v>3114</v>
      </c>
      <c r="F22" s="7" t="s">
        <v>3115</v>
      </c>
      <c r="G22" s="7" t="s">
        <v>3116</v>
      </c>
    </row>
    <row r="23" customFormat="false" ht="68.65" hidden="false" customHeight="false" outlineLevel="0" collapsed="false">
      <c r="A23" s="7" t="s">
        <v>3117</v>
      </c>
      <c r="B23" s="7" t="s">
        <v>3118</v>
      </c>
      <c r="C23" s="7" t="s">
        <v>3119</v>
      </c>
      <c r="D23" s="7" t="s">
        <v>3087</v>
      </c>
      <c r="E23" s="7" t="s">
        <v>3120</v>
      </c>
      <c r="F23" s="7" t="s">
        <v>3121</v>
      </c>
      <c r="G23" s="7" t="s">
        <v>3122</v>
      </c>
    </row>
    <row r="24" customFormat="false" ht="15" hidden="false" customHeight="false" outlineLevel="0" collapsed="false">
      <c r="A24" s="7" t="s">
        <v>3123</v>
      </c>
      <c r="B24" s="7" t="s">
        <v>1230</v>
      </c>
      <c r="C24" s="7" t="s">
        <v>1231</v>
      </c>
      <c r="D24" s="7" t="s">
        <v>3048</v>
      </c>
      <c r="E24" s="7" t="s">
        <v>3124</v>
      </c>
      <c r="F24" s="7" t="s">
        <v>3125</v>
      </c>
      <c r="G24" s="7" t="s">
        <v>3126</v>
      </c>
    </row>
    <row r="25" customFormat="false" ht="57.45" hidden="false" customHeight="false" outlineLevel="0" collapsed="false">
      <c r="A25" s="7" t="s">
        <v>3127</v>
      </c>
      <c r="B25" s="7" t="s">
        <v>611</v>
      </c>
      <c r="C25" s="7" t="s">
        <v>612</v>
      </c>
      <c r="D25" s="7" t="s">
        <v>3048</v>
      </c>
      <c r="E25" s="7" t="s">
        <v>3128</v>
      </c>
      <c r="F25" s="7" t="s">
        <v>3129</v>
      </c>
      <c r="G25" s="7" t="s">
        <v>3130</v>
      </c>
    </row>
    <row r="26" customFormat="false" ht="46.25" hidden="false" customHeight="false" outlineLevel="0" collapsed="false">
      <c r="A26" s="7" t="s">
        <v>3131</v>
      </c>
      <c r="B26" s="7" t="s">
        <v>3132</v>
      </c>
      <c r="C26" s="7" t="s">
        <v>3133</v>
      </c>
      <c r="D26" s="7" t="s">
        <v>3087</v>
      </c>
      <c r="E26" s="7" t="s">
        <v>1973</v>
      </c>
      <c r="F26" s="7" t="s">
        <v>1974</v>
      </c>
      <c r="G26" s="7" t="s">
        <v>3134</v>
      </c>
    </row>
    <row r="27" customFormat="false" ht="35.05" hidden="false" customHeight="false" outlineLevel="0" collapsed="false">
      <c r="A27" s="7" t="s">
        <v>3135</v>
      </c>
      <c r="B27" s="7" t="s">
        <v>3136</v>
      </c>
      <c r="C27" s="7" t="s">
        <v>3137</v>
      </c>
      <c r="D27" s="7" t="s">
        <v>3087</v>
      </c>
      <c r="E27" s="7" t="s">
        <v>1983</v>
      </c>
      <c r="F27" s="7" t="s">
        <v>1984</v>
      </c>
      <c r="G27" s="7" t="s">
        <v>3138</v>
      </c>
    </row>
  </sheetData>
  <autoFilter ref="A4:G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3139</v>
      </c>
    </row>
    <row r="2" customFormat="false" ht="15" hidden="false" customHeight="false" outlineLevel="0" collapsed="false">
      <c r="A2" s="2" t="s">
        <v>3140</v>
      </c>
    </row>
    <row r="3" customFormat="false" ht="15" hidden="false" customHeight="false" outlineLevel="0" collapsed="false">
      <c r="A3" s="3" t="s">
        <v>3141</v>
      </c>
      <c r="B3" s="3" t="s">
        <v>3142</v>
      </c>
      <c r="C3" s="3" t="s">
        <v>3143</v>
      </c>
    </row>
    <row r="4" customFormat="false" ht="15" hidden="false" customHeight="false" outlineLevel="0" collapsed="false">
      <c r="A4" s="5" t="s">
        <v>3144</v>
      </c>
      <c r="B4" s="14" t="n">
        <v>70</v>
      </c>
      <c r="C4" s="2" t="s">
        <v>3145</v>
      </c>
    </row>
    <row r="5" customFormat="false" ht="15" hidden="false" customHeight="false" outlineLevel="0" collapsed="false">
      <c r="A5" s="5" t="s">
        <v>3146</v>
      </c>
      <c r="B5" s="15" t="n">
        <v>0.45</v>
      </c>
      <c r="C5" s="2" t="s">
        <v>3147</v>
      </c>
    </row>
    <row r="6" customFormat="false" ht="15" hidden="false" customHeight="false" outlineLevel="0" collapsed="false">
      <c r="A6" s="5" t="s">
        <v>3148</v>
      </c>
      <c r="B6" s="14" t="n">
        <v>20</v>
      </c>
      <c r="C6" s="2" t="s">
        <v>3149</v>
      </c>
    </row>
    <row r="7" customFormat="false" ht="15" hidden="false" customHeight="false" outlineLevel="0" collapsed="false">
      <c r="A7" s="5" t="s">
        <v>3150</v>
      </c>
      <c r="B7" s="14" t="n">
        <v>10</v>
      </c>
      <c r="C7" s="2"/>
    </row>
    <row r="8" customFormat="false" ht="15" hidden="false" customHeight="false" outlineLevel="0" collapsed="false">
      <c r="A8" s="5" t="s">
        <v>3151</v>
      </c>
      <c r="B8" s="14" t="n">
        <v>5</v>
      </c>
      <c r="C8" s="2"/>
    </row>
    <row r="9" customFormat="false" ht="15" hidden="false" customHeight="false" outlineLevel="0" collapsed="false">
      <c r="A9" s="5" t="s">
        <v>3152</v>
      </c>
      <c r="B9" s="14" t="n">
        <v>9</v>
      </c>
      <c r="C9" s="2" t="s">
        <v>3153</v>
      </c>
    </row>
    <row r="10" customFormat="false" ht="15" hidden="false" customHeight="false" outlineLevel="0" collapsed="false">
      <c r="A10" s="5" t="s">
        <v>3154</v>
      </c>
      <c r="B10" s="16" t="n">
        <v>8</v>
      </c>
      <c r="C10" s="2" t="s">
        <v>3155</v>
      </c>
    </row>
    <row r="11" customFormat="false" ht="15" hidden="false" customHeight="false" outlineLevel="0" collapsed="false">
      <c r="A11" s="5" t="s">
        <v>3156</v>
      </c>
      <c r="B11" s="17" t="n">
        <v>46300</v>
      </c>
      <c r="C11" s="2" t="s">
        <v>3157</v>
      </c>
    </row>
    <row r="12" customFormat="false" ht="15" hidden="false" customHeight="false" outlineLevel="0" collapsed="false">
      <c r="A12" s="5" t="s">
        <v>3158</v>
      </c>
      <c r="B12" s="18"/>
      <c r="C12" s="2" t="s">
        <v>3159</v>
      </c>
    </row>
    <row r="13" customFormat="false" ht="15" hidden="false" customHeight="false" outlineLevel="0" collapsed="false">
      <c r="A13" s="5" t="s">
        <v>3160</v>
      </c>
      <c r="B13" s="16" t="n">
        <v>1</v>
      </c>
      <c r="C13" s="2" t="s">
        <v>3161</v>
      </c>
    </row>
    <row r="14" customFormat="false" ht="15" hidden="false" customHeight="false" outlineLevel="0" collapsed="false">
      <c r="A14" s="5" t="s">
        <v>3162</v>
      </c>
      <c r="B14" s="16" t="n">
        <v>1</v>
      </c>
      <c r="C14" s="2" t="s">
        <v>3163</v>
      </c>
    </row>
    <row r="17" customFormat="false" ht="15" hidden="false" customHeight="false" outlineLevel="0" collapsed="false">
      <c r="A17" s="11" t="s">
        <v>3164</v>
      </c>
    </row>
    <row r="18" customFormat="false" ht="15" hidden="false" customHeight="false" outlineLevel="0" collapsed="false">
      <c r="A18" s="3" t="s">
        <v>2586</v>
      </c>
      <c r="B18" s="3" t="s">
        <v>3165</v>
      </c>
      <c r="C18" s="3" t="s">
        <v>3166</v>
      </c>
      <c r="D18" s="3" t="s">
        <v>3167</v>
      </c>
    </row>
    <row r="19" customFormat="false" ht="15" hidden="false" customHeight="false" outlineLevel="0" collapsed="false">
      <c r="A19" s="5" t="s">
        <v>3168</v>
      </c>
      <c r="B19" s="19" t="n">
        <v>2</v>
      </c>
      <c r="C19" s="19" t="n">
        <v>0.25</v>
      </c>
      <c r="D19" s="5" t="s">
        <v>3169</v>
      </c>
    </row>
    <row r="20" customFormat="false" ht="15" hidden="false" customHeight="false" outlineLevel="0" collapsed="false">
      <c r="A20" s="5" t="s">
        <v>619</v>
      </c>
      <c r="B20" s="19" t="n">
        <v>3</v>
      </c>
      <c r="C20" s="19" t="n">
        <v>0.4</v>
      </c>
      <c r="D20" s="5" t="s">
        <v>3170</v>
      </c>
    </row>
    <row r="21" customFormat="false" ht="15" hidden="false" customHeight="false" outlineLevel="0" collapsed="false">
      <c r="A21" s="5" t="s">
        <v>3171</v>
      </c>
      <c r="B21" s="19" t="n">
        <v>1.5</v>
      </c>
      <c r="C21" s="19" t="n">
        <v>0.2</v>
      </c>
      <c r="D21" s="5" t="s">
        <v>3172</v>
      </c>
    </row>
    <row r="22" customFormat="false" ht="15" hidden="false" customHeight="false" outlineLevel="0" collapsed="false">
      <c r="A22" s="5" t="s">
        <v>560</v>
      </c>
      <c r="B22" s="19" t="n">
        <v>3</v>
      </c>
      <c r="C22" s="19" t="n">
        <v>0.3</v>
      </c>
      <c r="D22" s="5" t="s">
        <v>3173</v>
      </c>
    </row>
    <row r="24" customFormat="false" ht="15" hidden="false" customHeight="false" outlineLevel="0" collapsed="false">
      <c r="A24" s="2" t="s">
        <v>3174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V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8"/>
    <col collapsed="false" customWidth="true" hidden="false" outlineLevel="0" max="4" min="4" style="0" width="40"/>
    <col collapsed="false" customWidth="true" hidden="false" outlineLevel="0" max="5" min="5" style="0" width="16"/>
    <col collapsed="false" customWidth="true" hidden="false" outlineLevel="0" max="6" min="6" style="0" width="40"/>
    <col collapsed="false" customWidth="true" hidden="false" outlineLevel="0" max="9" min="7" style="0" width="8"/>
    <col collapsed="false" customWidth="true" hidden="false" outlineLevel="0" max="10" min="10" style="0" width="11"/>
    <col collapsed="false" customWidth="true" hidden="false" outlineLevel="0" max="11" min="11" style="0" width="40"/>
    <col collapsed="false" customWidth="true" hidden="false" outlineLevel="0" max="13" min="12" style="0" width="36"/>
    <col collapsed="false" customWidth="true" hidden="false" outlineLevel="0" max="14" min="14" style="0" width="12"/>
    <col collapsed="false" customWidth="true" hidden="false" outlineLevel="0" max="15" min="15" style="0" width="30"/>
    <col collapsed="false" customWidth="true" hidden="false" outlineLevel="0" max="16" min="16" style="0" width="36"/>
    <col collapsed="false" customWidth="true" hidden="false" outlineLevel="0" max="17" min="17" style="0" width="20"/>
    <col collapsed="false" customWidth="true" hidden="false" outlineLevel="0" max="19" min="18" style="0" width="12"/>
    <col collapsed="false" customWidth="true" hidden="false" outlineLevel="0" max="21" min="20" style="0" width="7"/>
    <col collapsed="false" customWidth="true" hidden="false" outlineLevel="0" max="22" min="22" style="0" width="30"/>
  </cols>
  <sheetData>
    <row r="1" customFormat="false" ht="17.35" hidden="false" customHeight="false" outlineLevel="0" collapsed="false">
      <c r="A1" s="1" t="s">
        <v>3175</v>
      </c>
    </row>
    <row r="2" customFormat="false" ht="15" hidden="false" customHeight="false" outlineLevel="0" collapsed="false">
      <c r="A2" s="2" t="s">
        <v>3176</v>
      </c>
    </row>
    <row r="4" customFormat="false" ht="31.5" hidden="false" customHeight="true" outlineLevel="0" collapsed="false">
      <c r="A4" s="6" t="s">
        <v>118</v>
      </c>
      <c r="B4" s="6" t="s">
        <v>3177</v>
      </c>
      <c r="C4" s="6" t="s">
        <v>3178</v>
      </c>
      <c r="D4" s="6" t="s">
        <v>3179</v>
      </c>
      <c r="E4" s="6" t="s">
        <v>3180</v>
      </c>
      <c r="F4" s="6" t="s">
        <v>3181</v>
      </c>
      <c r="G4" s="6" t="s">
        <v>3182</v>
      </c>
      <c r="H4" s="6" t="s">
        <v>3183</v>
      </c>
      <c r="I4" s="6" t="s">
        <v>3184</v>
      </c>
      <c r="J4" s="6" t="s">
        <v>3185</v>
      </c>
      <c r="K4" s="6" t="s">
        <v>3186</v>
      </c>
      <c r="L4" s="6" t="s">
        <v>3187</v>
      </c>
      <c r="M4" s="6" t="s">
        <v>2025</v>
      </c>
      <c r="N4" s="6" t="s">
        <v>3188</v>
      </c>
      <c r="O4" s="6" t="s">
        <v>3189</v>
      </c>
      <c r="P4" s="6" t="s">
        <v>3190</v>
      </c>
      <c r="Q4" s="6" t="s">
        <v>3191</v>
      </c>
      <c r="R4" s="6" t="s">
        <v>3192</v>
      </c>
      <c r="S4" s="6" t="s">
        <v>3193</v>
      </c>
      <c r="T4" s="6" t="s">
        <v>3194</v>
      </c>
      <c r="U4" s="6" t="s">
        <v>3195</v>
      </c>
      <c r="V4" s="6" t="s">
        <v>2592</v>
      </c>
    </row>
    <row r="5" customFormat="false" ht="169.4" hidden="false" customHeight="false" outlineLevel="0" collapsed="false">
      <c r="A5" s="7" t="s">
        <v>3196</v>
      </c>
      <c r="B5" s="7" t="s">
        <v>3197</v>
      </c>
      <c r="C5" s="7" t="s">
        <v>552</v>
      </c>
      <c r="D5" s="7" t="s">
        <v>3198</v>
      </c>
      <c r="E5" s="7" t="s">
        <v>3199</v>
      </c>
      <c r="F5" s="7" t="s">
        <v>3200</v>
      </c>
      <c r="G5" s="13" t="n">
        <v>4</v>
      </c>
      <c r="H5" s="13" t="n">
        <v>5</v>
      </c>
      <c r="I5" s="7" t="n">
        <f aca="false">G5*H5</f>
        <v>20</v>
      </c>
      <c r="J5" s="7" t="str">
        <f aca="false">IF(I5&gt;=RISCO_PARAMETROS!$B$6,"Crítico",IF(I5&gt;=RISCO_PARAMETROS!$B$7,"Alto",IF(I5&gt;=RISCO_PARAMETROS!$B$8,"Moderado","Baixo")))</f>
        <v>Crítico</v>
      </c>
      <c r="K5" s="7" t="s">
        <v>3201</v>
      </c>
      <c r="L5" s="7" t="s">
        <v>3202</v>
      </c>
      <c r="M5" s="7" t="s">
        <v>3203</v>
      </c>
      <c r="N5" s="7" t="s">
        <v>3204</v>
      </c>
      <c r="O5" s="7" t="s">
        <v>3205</v>
      </c>
      <c r="P5" s="7" t="s">
        <v>3206</v>
      </c>
      <c r="Q5" s="7" t="s">
        <v>3207</v>
      </c>
      <c r="R5" s="7" t="s">
        <v>3208</v>
      </c>
      <c r="S5" s="7" t="s">
        <v>3209</v>
      </c>
      <c r="T5" s="7" t="s">
        <v>3210</v>
      </c>
      <c r="U5" s="7" t="s">
        <v>3211</v>
      </c>
      <c r="V5" s="7" t="s">
        <v>3212</v>
      </c>
    </row>
    <row r="6" customFormat="false" ht="135.8" hidden="false" customHeight="false" outlineLevel="0" collapsed="false">
      <c r="A6" s="7" t="s">
        <v>3213</v>
      </c>
      <c r="B6" s="7" t="s">
        <v>3197</v>
      </c>
      <c r="C6" s="7" t="s">
        <v>564</v>
      </c>
      <c r="D6" s="7" t="s">
        <v>3214</v>
      </c>
      <c r="E6" s="7" t="s">
        <v>3215</v>
      </c>
      <c r="F6" s="7" t="s">
        <v>3216</v>
      </c>
      <c r="G6" s="13" t="n">
        <v>3</v>
      </c>
      <c r="H6" s="13" t="n">
        <v>5</v>
      </c>
      <c r="I6" s="7" t="n">
        <f aca="false">G6*H6</f>
        <v>15</v>
      </c>
      <c r="J6" s="7" t="str">
        <f aca="false">IF(I6&gt;=RISCO_PARAMETROS!$B$6,"Crítico",IF(I6&gt;=RISCO_PARAMETROS!$B$7,"Alto",IF(I6&gt;=RISCO_PARAMETROS!$B$8,"Moderado","Baixo")))</f>
        <v>Alto</v>
      </c>
      <c r="K6" s="7" t="s">
        <v>3217</v>
      </c>
      <c r="L6" s="7" t="s">
        <v>3218</v>
      </c>
      <c r="M6" s="7" t="s">
        <v>3219</v>
      </c>
      <c r="N6" s="7" t="s">
        <v>3220</v>
      </c>
      <c r="O6" s="7" t="s">
        <v>3221</v>
      </c>
      <c r="P6" s="7" t="s">
        <v>3222</v>
      </c>
      <c r="Q6" s="7" t="s">
        <v>3223</v>
      </c>
      <c r="R6" s="7" t="s">
        <v>3224</v>
      </c>
      <c r="S6" s="7" t="s">
        <v>3209</v>
      </c>
      <c r="T6" s="7" t="s">
        <v>3225</v>
      </c>
      <c r="U6" s="7" t="s">
        <v>3226</v>
      </c>
      <c r="V6" s="7" t="s">
        <v>3212</v>
      </c>
    </row>
    <row r="7" customFormat="false" ht="135.8" hidden="false" customHeight="false" outlineLevel="0" collapsed="false">
      <c r="A7" s="7" t="s">
        <v>3227</v>
      </c>
      <c r="B7" s="7" t="s">
        <v>3197</v>
      </c>
      <c r="C7" s="7" t="s">
        <v>575</v>
      </c>
      <c r="D7" s="7" t="s">
        <v>3228</v>
      </c>
      <c r="E7" s="7" t="s">
        <v>3229</v>
      </c>
      <c r="F7" s="7" t="s">
        <v>3230</v>
      </c>
      <c r="G7" s="13" t="n">
        <v>4</v>
      </c>
      <c r="H7" s="13" t="n">
        <v>4</v>
      </c>
      <c r="I7" s="7" t="n">
        <f aca="false">G7*H7</f>
        <v>16</v>
      </c>
      <c r="J7" s="7" t="str">
        <f aca="false">IF(I7&gt;=RISCO_PARAMETROS!$B$6,"Crítico",IF(I7&gt;=RISCO_PARAMETROS!$B$7,"Alto",IF(I7&gt;=RISCO_PARAMETROS!$B$8,"Moderado","Baixo")))</f>
        <v>Alto</v>
      </c>
      <c r="K7" s="7" t="s">
        <v>3231</v>
      </c>
      <c r="L7" s="7" t="s">
        <v>3232</v>
      </c>
      <c r="M7" s="7" t="s">
        <v>3233</v>
      </c>
      <c r="N7" s="7" t="s">
        <v>3234</v>
      </c>
      <c r="O7" s="7" t="s">
        <v>3235</v>
      </c>
      <c r="P7" s="7" t="s">
        <v>3236</v>
      </c>
      <c r="Q7" s="7" t="s">
        <v>3237</v>
      </c>
      <c r="R7" s="7" t="s">
        <v>3238</v>
      </c>
      <c r="S7" s="7" t="s">
        <v>3209</v>
      </c>
      <c r="T7" s="7" t="s">
        <v>3239</v>
      </c>
      <c r="U7" s="7" t="s">
        <v>3240</v>
      </c>
      <c r="V7" s="7" t="s">
        <v>3212</v>
      </c>
    </row>
    <row r="8" customFormat="false" ht="158.2" hidden="false" customHeight="false" outlineLevel="0" collapsed="false">
      <c r="A8" s="7" t="s">
        <v>3241</v>
      </c>
      <c r="B8" s="7" t="s">
        <v>3197</v>
      </c>
      <c r="C8" s="7" t="s">
        <v>584</v>
      </c>
      <c r="D8" s="7" t="s">
        <v>3242</v>
      </c>
      <c r="E8" s="7" t="s">
        <v>3243</v>
      </c>
      <c r="F8" s="7" t="s">
        <v>3244</v>
      </c>
      <c r="G8" s="13" t="n">
        <v>4</v>
      </c>
      <c r="H8" s="13" t="n">
        <v>4</v>
      </c>
      <c r="I8" s="7" t="n">
        <f aca="false">G8*H8</f>
        <v>16</v>
      </c>
      <c r="J8" s="7" t="str">
        <f aca="false">IF(I8&gt;=RISCO_PARAMETROS!$B$6,"Crítico",IF(I8&gt;=RISCO_PARAMETROS!$B$7,"Alto",IF(I8&gt;=RISCO_PARAMETROS!$B$8,"Moderado","Baixo")))</f>
        <v>Alto</v>
      </c>
      <c r="K8" s="7" t="s">
        <v>3245</v>
      </c>
      <c r="L8" s="7" t="s">
        <v>3246</v>
      </c>
      <c r="M8" s="7" t="s">
        <v>3247</v>
      </c>
      <c r="N8" s="7" t="s">
        <v>3248</v>
      </c>
      <c r="O8" s="7" t="s">
        <v>3249</v>
      </c>
      <c r="P8" s="7" t="s">
        <v>3250</v>
      </c>
      <c r="Q8" s="7" t="s">
        <v>3251</v>
      </c>
      <c r="R8" s="7" t="s">
        <v>3252</v>
      </c>
      <c r="S8" s="7" t="s">
        <v>3209</v>
      </c>
      <c r="T8" s="7" t="s">
        <v>3253</v>
      </c>
      <c r="U8" s="7" t="s">
        <v>3254</v>
      </c>
      <c r="V8" s="7" t="s">
        <v>3212</v>
      </c>
    </row>
    <row r="9" customFormat="false" ht="124.6" hidden="false" customHeight="false" outlineLevel="0" collapsed="false">
      <c r="A9" s="7" t="s">
        <v>3255</v>
      </c>
      <c r="B9" s="7" t="s">
        <v>3197</v>
      </c>
      <c r="C9" s="7" t="s">
        <v>594</v>
      </c>
      <c r="D9" s="7" t="s">
        <v>3256</v>
      </c>
      <c r="E9" s="7" t="s">
        <v>3229</v>
      </c>
      <c r="F9" s="7" t="s">
        <v>3257</v>
      </c>
      <c r="G9" s="13" t="n">
        <v>3</v>
      </c>
      <c r="H9" s="13" t="n">
        <v>4</v>
      </c>
      <c r="I9" s="7" t="n">
        <f aca="false">G9*H9</f>
        <v>12</v>
      </c>
      <c r="J9" s="7" t="str">
        <f aca="false">IF(I9&gt;=RISCO_PARAMETROS!$B$6,"Crítico",IF(I9&gt;=RISCO_PARAMETROS!$B$7,"Alto",IF(I9&gt;=RISCO_PARAMETROS!$B$8,"Moderado","Baixo")))</f>
        <v>Alto</v>
      </c>
      <c r="K9" s="7" t="s">
        <v>3258</v>
      </c>
      <c r="L9" s="7" t="s">
        <v>3259</v>
      </c>
      <c r="M9" s="7" t="s">
        <v>3260</v>
      </c>
      <c r="N9" s="7" t="s">
        <v>3261</v>
      </c>
      <c r="O9" s="7" t="s">
        <v>3262</v>
      </c>
      <c r="P9" s="7" t="s">
        <v>3263</v>
      </c>
      <c r="Q9" s="7" t="s">
        <v>3264</v>
      </c>
      <c r="R9" s="7" t="s">
        <v>3265</v>
      </c>
      <c r="S9" s="7" t="s">
        <v>3209</v>
      </c>
      <c r="T9" s="7" t="s">
        <v>3266</v>
      </c>
      <c r="U9" s="7" t="s">
        <v>3267</v>
      </c>
      <c r="V9" s="7" t="s">
        <v>3212</v>
      </c>
    </row>
    <row r="10" customFormat="false" ht="135.8" hidden="false" customHeight="false" outlineLevel="0" collapsed="false">
      <c r="A10" s="7" t="s">
        <v>3268</v>
      </c>
      <c r="B10" s="7" t="s">
        <v>3197</v>
      </c>
      <c r="C10" s="7" t="s">
        <v>613</v>
      </c>
      <c r="D10" s="7" t="s">
        <v>3269</v>
      </c>
      <c r="E10" s="7" t="s">
        <v>3270</v>
      </c>
      <c r="F10" s="7" t="s">
        <v>3271</v>
      </c>
      <c r="G10" s="13" t="n">
        <v>4</v>
      </c>
      <c r="H10" s="13" t="n">
        <v>5</v>
      </c>
      <c r="I10" s="7" t="n">
        <f aca="false">G10*H10</f>
        <v>20</v>
      </c>
      <c r="J10" s="7" t="str">
        <f aca="false">IF(I10&gt;=RISCO_PARAMETROS!$B$6,"Crítico",IF(I10&gt;=RISCO_PARAMETROS!$B$7,"Alto",IF(I10&gt;=RISCO_PARAMETROS!$B$8,"Moderado","Baixo")))</f>
        <v>Crítico</v>
      </c>
      <c r="K10" s="7" t="s">
        <v>3272</v>
      </c>
      <c r="L10" s="7" t="s">
        <v>3273</v>
      </c>
      <c r="M10" s="7" t="s">
        <v>3274</v>
      </c>
      <c r="N10" s="7" t="s">
        <v>3275</v>
      </c>
      <c r="O10" s="7" t="s">
        <v>3276</v>
      </c>
      <c r="P10" s="7" t="s">
        <v>3277</v>
      </c>
      <c r="Q10" s="7" t="s">
        <v>3278</v>
      </c>
      <c r="R10" s="7" t="s">
        <v>3279</v>
      </c>
      <c r="S10" s="7" t="s">
        <v>3209</v>
      </c>
      <c r="T10" s="7" t="s">
        <v>3280</v>
      </c>
      <c r="U10" s="7" t="s">
        <v>3281</v>
      </c>
      <c r="V10" s="7" t="s">
        <v>3212</v>
      </c>
    </row>
    <row r="11" customFormat="false" ht="169.4" hidden="false" customHeight="false" outlineLevel="0" collapsed="false">
      <c r="A11" s="7" t="s">
        <v>3282</v>
      </c>
      <c r="B11" s="7" t="s">
        <v>3197</v>
      </c>
      <c r="C11" s="7" t="s">
        <v>623</v>
      </c>
      <c r="D11" s="7" t="s">
        <v>3283</v>
      </c>
      <c r="E11" s="7" t="s">
        <v>3284</v>
      </c>
      <c r="F11" s="7" t="s">
        <v>3285</v>
      </c>
      <c r="G11" s="13" t="n">
        <v>3</v>
      </c>
      <c r="H11" s="13" t="n">
        <v>4</v>
      </c>
      <c r="I11" s="7" t="n">
        <f aca="false">G11*H11</f>
        <v>12</v>
      </c>
      <c r="J11" s="7" t="str">
        <f aca="false">IF(I11&gt;=RISCO_PARAMETROS!$B$6,"Crítico",IF(I11&gt;=RISCO_PARAMETROS!$B$7,"Alto",IF(I11&gt;=RISCO_PARAMETROS!$B$8,"Moderado","Baixo")))</f>
        <v>Alto</v>
      </c>
      <c r="K11" s="7" t="s">
        <v>3286</v>
      </c>
      <c r="L11" s="7" t="s">
        <v>3287</v>
      </c>
      <c r="M11" s="7" t="s">
        <v>3288</v>
      </c>
      <c r="N11" s="7" t="s">
        <v>3289</v>
      </c>
      <c r="O11" s="7" t="s">
        <v>3290</v>
      </c>
      <c r="P11" s="7" t="s">
        <v>3291</v>
      </c>
      <c r="Q11" s="7" t="s">
        <v>3292</v>
      </c>
      <c r="R11" s="7" t="s">
        <v>3293</v>
      </c>
      <c r="S11" s="7" t="s">
        <v>3209</v>
      </c>
      <c r="T11" s="7" t="s">
        <v>3294</v>
      </c>
      <c r="U11" s="7" t="s">
        <v>3295</v>
      </c>
      <c r="V11" s="7" t="s">
        <v>3212</v>
      </c>
    </row>
    <row r="12" customFormat="false" ht="113.4" hidden="false" customHeight="false" outlineLevel="0" collapsed="false">
      <c r="A12" s="7" t="s">
        <v>3296</v>
      </c>
      <c r="B12" s="7" t="s">
        <v>3197</v>
      </c>
      <c r="C12" s="7" t="s">
        <v>1184</v>
      </c>
      <c r="D12" s="7" t="s">
        <v>3297</v>
      </c>
      <c r="E12" s="7" t="s">
        <v>3298</v>
      </c>
      <c r="F12" s="7" t="s">
        <v>3299</v>
      </c>
      <c r="G12" s="13" t="n">
        <v>3</v>
      </c>
      <c r="H12" s="13" t="n">
        <v>5</v>
      </c>
      <c r="I12" s="7" t="n">
        <f aca="false">G12*H12</f>
        <v>15</v>
      </c>
      <c r="J12" s="7" t="str">
        <f aca="false">IF(I12&gt;=RISCO_PARAMETROS!$B$6,"Crítico",IF(I12&gt;=RISCO_PARAMETROS!$B$7,"Alto",IF(I12&gt;=RISCO_PARAMETROS!$B$8,"Moderado","Baixo")))</f>
        <v>Alto</v>
      </c>
      <c r="K12" s="7" t="s">
        <v>3300</v>
      </c>
      <c r="L12" s="7" t="s">
        <v>3301</v>
      </c>
      <c r="M12" s="7" t="s">
        <v>3302</v>
      </c>
      <c r="N12" s="7" t="s">
        <v>3204</v>
      </c>
      <c r="O12" s="7" t="s">
        <v>3303</v>
      </c>
      <c r="P12" s="7" t="s">
        <v>3304</v>
      </c>
      <c r="Q12" s="7" t="s">
        <v>3305</v>
      </c>
      <c r="R12" s="7" t="s">
        <v>3306</v>
      </c>
      <c r="S12" s="7" t="s">
        <v>3209</v>
      </c>
      <c r="T12" s="7" t="s">
        <v>3307</v>
      </c>
      <c r="U12" s="7" t="s">
        <v>3308</v>
      </c>
      <c r="V12" s="7" t="s">
        <v>3212</v>
      </c>
    </row>
    <row r="13" customFormat="false" ht="147" hidden="false" customHeight="false" outlineLevel="0" collapsed="false">
      <c r="A13" s="7" t="s">
        <v>3309</v>
      </c>
      <c r="B13" s="7" t="s">
        <v>3197</v>
      </c>
      <c r="C13" s="7" t="s">
        <v>1207</v>
      </c>
      <c r="D13" s="7" t="s">
        <v>3310</v>
      </c>
      <c r="E13" s="7" t="s">
        <v>3270</v>
      </c>
      <c r="F13" s="7" t="s">
        <v>3311</v>
      </c>
      <c r="G13" s="13" t="n">
        <v>4</v>
      </c>
      <c r="H13" s="13" t="n">
        <v>5</v>
      </c>
      <c r="I13" s="7" t="n">
        <f aca="false">G13*H13</f>
        <v>20</v>
      </c>
      <c r="J13" s="7" t="str">
        <f aca="false">IF(I13&gt;=RISCO_PARAMETROS!$B$6,"Crítico",IF(I13&gt;=RISCO_PARAMETROS!$B$7,"Alto",IF(I13&gt;=RISCO_PARAMETROS!$B$8,"Moderado","Baixo")))</f>
        <v>Crítico</v>
      </c>
      <c r="K13" s="7" t="s">
        <v>3312</v>
      </c>
      <c r="L13" s="7" t="s">
        <v>3313</v>
      </c>
      <c r="M13" s="7" t="s">
        <v>3314</v>
      </c>
      <c r="N13" s="7" t="s">
        <v>3315</v>
      </c>
      <c r="O13" s="7" t="s">
        <v>3316</v>
      </c>
      <c r="P13" s="7" t="s">
        <v>3317</v>
      </c>
      <c r="Q13" s="7" t="s">
        <v>3318</v>
      </c>
      <c r="R13" s="7" t="s">
        <v>3319</v>
      </c>
      <c r="S13" s="7" t="s">
        <v>3209</v>
      </c>
      <c r="T13" s="7" t="s">
        <v>3320</v>
      </c>
      <c r="U13" s="7" t="s">
        <v>3321</v>
      </c>
      <c r="V13" s="7" t="s">
        <v>3212</v>
      </c>
    </row>
    <row r="14" customFormat="false" ht="135.8" hidden="false" customHeight="false" outlineLevel="0" collapsed="false">
      <c r="A14" s="7" t="s">
        <v>3322</v>
      </c>
      <c r="B14" s="7" t="s">
        <v>3197</v>
      </c>
      <c r="C14" s="7" t="s">
        <v>1279</v>
      </c>
      <c r="D14" s="7" t="s">
        <v>3323</v>
      </c>
      <c r="E14" s="7" t="s">
        <v>3215</v>
      </c>
      <c r="F14" s="7" t="s">
        <v>3324</v>
      </c>
      <c r="G14" s="13" t="n">
        <v>3</v>
      </c>
      <c r="H14" s="13" t="n">
        <v>3</v>
      </c>
      <c r="I14" s="7" t="n">
        <f aca="false">G14*H14</f>
        <v>9</v>
      </c>
      <c r="J14" s="7" t="str">
        <f aca="false">IF(I14&gt;=RISCO_PARAMETROS!$B$6,"Crítico",IF(I14&gt;=RISCO_PARAMETROS!$B$7,"Alto",IF(I14&gt;=RISCO_PARAMETROS!$B$8,"Moderado","Baixo")))</f>
        <v>Moderado</v>
      </c>
      <c r="K14" s="7" t="s">
        <v>3325</v>
      </c>
      <c r="L14" s="7" t="s">
        <v>3326</v>
      </c>
      <c r="M14" s="7" t="s">
        <v>3327</v>
      </c>
      <c r="N14" s="7" t="s">
        <v>3328</v>
      </c>
      <c r="O14" s="7" t="s">
        <v>3329</v>
      </c>
      <c r="P14" s="7" t="s">
        <v>3330</v>
      </c>
      <c r="Q14" s="7" t="s">
        <v>3331</v>
      </c>
      <c r="R14" s="7" t="s">
        <v>3238</v>
      </c>
      <c r="S14" s="7" t="s">
        <v>3209</v>
      </c>
      <c r="T14" s="7" t="s">
        <v>3332</v>
      </c>
      <c r="U14" s="7" t="s">
        <v>3333</v>
      </c>
      <c r="V14" s="7" t="s">
        <v>3212</v>
      </c>
    </row>
    <row r="15" customFormat="false" ht="135.8" hidden="false" customHeight="false" outlineLevel="0" collapsed="false">
      <c r="A15" s="7" t="s">
        <v>3334</v>
      </c>
      <c r="B15" s="7" t="s">
        <v>3335</v>
      </c>
      <c r="C15" s="7" t="s">
        <v>2032</v>
      </c>
      <c r="D15" s="7" t="s">
        <v>3336</v>
      </c>
      <c r="E15" s="7" t="s">
        <v>3337</v>
      </c>
      <c r="F15" s="7" t="s">
        <v>3338</v>
      </c>
      <c r="G15" s="13" t="n">
        <v>4</v>
      </c>
      <c r="H15" s="13" t="n">
        <v>3</v>
      </c>
      <c r="I15" s="7" t="n">
        <f aca="false">G15*H15</f>
        <v>12</v>
      </c>
      <c r="J15" s="7" t="str">
        <f aca="false">IF(I15&gt;=RISCO_PARAMETROS!$B$6,"Crítico",IF(I15&gt;=RISCO_PARAMETROS!$B$7,"Alto",IF(I15&gt;=RISCO_PARAMETROS!$B$8,"Moderado","Baixo")))</f>
        <v>Alto</v>
      </c>
      <c r="K15" s="7" t="s">
        <v>3339</v>
      </c>
      <c r="L15" s="7" t="s">
        <v>3340</v>
      </c>
      <c r="M15" s="7" t="s">
        <v>3341</v>
      </c>
      <c r="N15" s="7" t="s">
        <v>3328</v>
      </c>
      <c r="O15" s="7" t="s">
        <v>3342</v>
      </c>
      <c r="P15" s="7" t="s">
        <v>3343</v>
      </c>
      <c r="Q15" s="7" t="s">
        <v>3344</v>
      </c>
      <c r="R15" s="7" t="s">
        <v>3345</v>
      </c>
      <c r="S15" s="7" t="s">
        <v>3209</v>
      </c>
      <c r="T15" s="7" t="s">
        <v>3346</v>
      </c>
      <c r="U15" s="7" t="s">
        <v>3347</v>
      </c>
      <c r="V15" s="7" t="s">
        <v>3212</v>
      </c>
    </row>
    <row r="16" customFormat="false" ht="147" hidden="false" customHeight="false" outlineLevel="0" collapsed="false">
      <c r="A16" s="7" t="s">
        <v>3348</v>
      </c>
      <c r="B16" s="7" t="s">
        <v>3335</v>
      </c>
      <c r="C16" s="7" t="s">
        <v>2078</v>
      </c>
      <c r="D16" s="7" t="s">
        <v>3349</v>
      </c>
      <c r="E16" s="7" t="s">
        <v>3199</v>
      </c>
      <c r="F16" s="7" t="s">
        <v>3350</v>
      </c>
      <c r="G16" s="13" t="n">
        <v>2</v>
      </c>
      <c r="H16" s="13" t="n">
        <v>5</v>
      </c>
      <c r="I16" s="7" t="n">
        <f aca="false">G16*H16</f>
        <v>10</v>
      </c>
      <c r="J16" s="7" t="str">
        <f aca="false">IF(I16&gt;=RISCO_PARAMETROS!$B$6,"Crítico",IF(I16&gt;=RISCO_PARAMETROS!$B$7,"Alto",IF(I16&gt;=RISCO_PARAMETROS!$B$8,"Moderado","Baixo")))</f>
        <v>Alto</v>
      </c>
      <c r="K16" s="7" t="s">
        <v>3351</v>
      </c>
      <c r="L16" s="7" t="s">
        <v>3352</v>
      </c>
      <c r="M16" s="7" t="s">
        <v>3353</v>
      </c>
      <c r="N16" s="7" t="s">
        <v>3328</v>
      </c>
      <c r="O16" s="7" t="s">
        <v>3354</v>
      </c>
      <c r="P16" s="7" t="s">
        <v>3355</v>
      </c>
      <c r="Q16" s="7" t="s">
        <v>3356</v>
      </c>
      <c r="R16" s="7" t="s">
        <v>3345</v>
      </c>
      <c r="S16" s="7" t="s">
        <v>3209</v>
      </c>
      <c r="T16" s="7" t="s">
        <v>3357</v>
      </c>
      <c r="U16" s="7" t="s">
        <v>3358</v>
      </c>
      <c r="V16" s="7" t="s">
        <v>3212</v>
      </c>
    </row>
    <row r="17" customFormat="false" ht="147" hidden="false" customHeight="false" outlineLevel="0" collapsed="false">
      <c r="A17" s="7" t="s">
        <v>3359</v>
      </c>
      <c r="B17" s="7" t="s">
        <v>3335</v>
      </c>
      <c r="C17" s="7" t="s">
        <v>2115</v>
      </c>
      <c r="D17" s="7" t="s">
        <v>3360</v>
      </c>
      <c r="E17" s="7" t="s">
        <v>3361</v>
      </c>
      <c r="F17" s="7" t="s">
        <v>3362</v>
      </c>
      <c r="G17" s="13" t="n">
        <v>3</v>
      </c>
      <c r="H17" s="13" t="n">
        <v>3</v>
      </c>
      <c r="I17" s="7" t="n">
        <f aca="false">G17*H17</f>
        <v>9</v>
      </c>
      <c r="J17" s="7" t="str">
        <f aca="false">IF(I17&gt;=RISCO_PARAMETROS!$B$6,"Crítico",IF(I17&gt;=RISCO_PARAMETROS!$B$7,"Alto",IF(I17&gt;=RISCO_PARAMETROS!$B$8,"Moderado","Baixo")))</f>
        <v>Moderado</v>
      </c>
      <c r="K17" s="7" t="s">
        <v>3363</v>
      </c>
      <c r="L17" s="7" t="s">
        <v>3364</v>
      </c>
      <c r="M17" s="7" t="s">
        <v>3365</v>
      </c>
      <c r="N17" s="7" t="s">
        <v>3328</v>
      </c>
      <c r="O17" s="7" t="s">
        <v>3366</v>
      </c>
      <c r="P17" s="7" t="s">
        <v>3367</v>
      </c>
      <c r="Q17" s="7" t="s">
        <v>3368</v>
      </c>
      <c r="R17" s="7" t="s">
        <v>3369</v>
      </c>
      <c r="S17" s="7" t="s">
        <v>3209</v>
      </c>
      <c r="T17" s="7" t="s">
        <v>3370</v>
      </c>
      <c r="U17" s="7" t="s">
        <v>3371</v>
      </c>
      <c r="V17" s="7" t="s">
        <v>3212</v>
      </c>
    </row>
    <row r="18" customFormat="false" ht="124.6" hidden="false" customHeight="false" outlineLevel="0" collapsed="false">
      <c r="A18" s="7" t="s">
        <v>3372</v>
      </c>
      <c r="B18" s="7" t="s">
        <v>3335</v>
      </c>
      <c r="C18" s="7" t="s">
        <v>2137</v>
      </c>
      <c r="D18" s="7" t="s">
        <v>3373</v>
      </c>
      <c r="E18" s="7" t="s">
        <v>3374</v>
      </c>
      <c r="F18" s="7" t="s">
        <v>3375</v>
      </c>
      <c r="G18" s="13" t="n">
        <v>3</v>
      </c>
      <c r="H18" s="13" t="n">
        <v>3</v>
      </c>
      <c r="I18" s="7" t="n">
        <f aca="false">G18*H18</f>
        <v>9</v>
      </c>
      <c r="J18" s="7" t="str">
        <f aca="false">IF(I18&gt;=RISCO_PARAMETROS!$B$6,"Crítico",IF(I18&gt;=RISCO_PARAMETROS!$B$7,"Alto",IF(I18&gt;=RISCO_PARAMETROS!$B$8,"Moderado","Baixo")))</f>
        <v>Moderado</v>
      </c>
      <c r="K18" s="7" t="s">
        <v>3376</v>
      </c>
      <c r="L18" s="7" t="s">
        <v>3377</v>
      </c>
      <c r="M18" s="7" t="s">
        <v>3378</v>
      </c>
      <c r="N18" s="7" t="s">
        <v>3328</v>
      </c>
      <c r="O18" s="7" t="s">
        <v>3379</v>
      </c>
      <c r="P18" s="7" t="s">
        <v>3380</v>
      </c>
      <c r="Q18" s="7" t="s">
        <v>3381</v>
      </c>
      <c r="R18" s="7" t="s">
        <v>3265</v>
      </c>
      <c r="S18" s="7" t="s">
        <v>3209</v>
      </c>
      <c r="T18" s="7" t="s">
        <v>3382</v>
      </c>
      <c r="U18" s="7" t="s">
        <v>3383</v>
      </c>
      <c r="V18" s="7" t="s">
        <v>3212</v>
      </c>
    </row>
    <row r="19" customFormat="false" ht="113.4" hidden="false" customHeight="false" outlineLevel="0" collapsed="false">
      <c r="A19" s="7" t="s">
        <v>3384</v>
      </c>
      <c r="B19" s="7" t="s">
        <v>3335</v>
      </c>
      <c r="C19" s="7" t="s">
        <v>2186</v>
      </c>
      <c r="D19" s="7" t="s">
        <v>3385</v>
      </c>
      <c r="E19" s="7" t="s">
        <v>3386</v>
      </c>
      <c r="F19" s="7" t="s">
        <v>3387</v>
      </c>
      <c r="G19" s="13" t="n">
        <v>2</v>
      </c>
      <c r="H19" s="13" t="n">
        <v>4</v>
      </c>
      <c r="I19" s="7" t="n">
        <f aca="false">G19*H19</f>
        <v>8</v>
      </c>
      <c r="J19" s="7" t="str">
        <f aca="false">IF(I19&gt;=RISCO_PARAMETROS!$B$6,"Crítico",IF(I19&gt;=RISCO_PARAMETROS!$B$7,"Alto",IF(I19&gt;=RISCO_PARAMETROS!$B$8,"Moderado","Baixo")))</f>
        <v>Moderado</v>
      </c>
      <c r="K19" s="7" t="s">
        <v>3388</v>
      </c>
      <c r="L19" s="7" t="s">
        <v>3389</v>
      </c>
      <c r="M19" s="7" t="s">
        <v>3390</v>
      </c>
      <c r="N19" s="7" t="s">
        <v>3391</v>
      </c>
      <c r="O19" s="7" t="s">
        <v>3392</v>
      </c>
      <c r="P19" s="7" t="s">
        <v>3393</v>
      </c>
      <c r="Q19" s="7" t="s">
        <v>3394</v>
      </c>
      <c r="R19" s="7" t="s">
        <v>3345</v>
      </c>
      <c r="S19" s="7" t="s">
        <v>3209</v>
      </c>
      <c r="T19" s="7" t="s">
        <v>3395</v>
      </c>
      <c r="U19" s="7" t="s">
        <v>3396</v>
      </c>
      <c r="V19" s="7" t="s">
        <v>3212</v>
      </c>
    </row>
    <row r="20" customFormat="false" ht="102.2" hidden="false" customHeight="false" outlineLevel="0" collapsed="false">
      <c r="A20" s="7" t="s">
        <v>3397</v>
      </c>
      <c r="B20" s="7" t="s">
        <v>3335</v>
      </c>
      <c r="C20" s="7" t="s">
        <v>2203</v>
      </c>
      <c r="D20" s="7" t="s">
        <v>3398</v>
      </c>
      <c r="E20" s="7" t="s">
        <v>3215</v>
      </c>
      <c r="F20" s="7" t="s">
        <v>3399</v>
      </c>
      <c r="G20" s="13" t="n">
        <v>3</v>
      </c>
      <c r="H20" s="13" t="n">
        <v>4</v>
      </c>
      <c r="I20" s="7" t="n">
        <f aca="false">G20*H20</f>
        <v>12</v>
      </c>
      <c r="J20" s="7" t="str">
        <f aca="false">IF(I20&gt;=RISCO_PARAMETROS!$B$6,"Crítico",IF(I20&gt;=RISCO_PARAMETROS!$B$7,"Alto",IF(I20&gt;=RISCO_PARAMETROS!$B$8,"Moderado","Baixo")))</f>
        <v>Alto</v>
      </c>
      <c r="K20" s="7" t="s">
        <v>3400</v>
      </c>
      <c r="L20" s="7" t="s">
        <v>3401</v>
      </c>
      <c r="M20" s="7" t="s">
        <v>3402</v>
      </c>
      <c r="N20" s="7" t="s">
        <v>3328</v>
      </c>
      <c r="O20" s="7" t="s">
        <v>3403</v>
      </c>
      <c r="P20" s="7" t="s">
        <v>3404</v>
      </c>
      <c r="Q20" s="7" t="s">
        <v>3405</v>
      </c>
      <c r="R20" s="7" t="s">
        <v>3406</v>
      </c>
      <c r="S20" s="7" t="s">
        <v>3209</v>
      </c>
      <c r="T20" s="7" t="s">
        <v>3407</v>
      </c>
      <c r="U20" s="7" t="s">
        <v>3408</v>
      </c>
      <c r="V20" s="7" t="s">
        <v>3212</v>
      </c>
    </row>
    <row r="21" customFormat="false" ht="91" hidden="false" customHeight="false" outlineLevel="0" collapsed="false">
      <c r="A21" s="7" t="s">
        <v>3409</v>
      </c>
      <c r="B21" s="7" t="s">
        <v>3335</v>
      </c>
      <c r="C21" s="7" t="s">
        <v>2248</v>
      </c>
      <c r="D21" s="7" t="s">
        <v>3410</v>
      </c>
      <c r="E21" s="7" t="s">
        <v>3374</v>
      </c>
      <c r="F21" s="7" t="s">
        <v>3411</v>
      </c>
      <c r="G21" s="13" t="n">
        <v>3</v>
      </c>
      <c r="H21" s="13" t="n">
        <v>3</v>
      </c>
      <c r="I21" s="7" t="n">
        <f aca="false">G21*H21</f>
        <v>9</v>
      </c>
      <c r="J21" s="7" t="str">
        <f aca="false">IF(I21&gt;=RISCO_PARAMETROS!$B$6,"Crítico",IF(I21&gt;=RISCO_PARAMETROS!$B$7,"Alto",IF(I21&gt;=RISCO_PARAMETROS!$B$8,"Moderado","Baixo")))</f>
        <v>Moderado</v>
      </c>
      <c r="K21" s="7" t="s">
        <v>3412</v>
      </c>
      <c r="L21" s="7" t="s">
        <v>3413</v>
      </c>
      <c r="M21" s="7" t="s">
        <v>3414</v>
      </c>
      <c r="N21" s="7" t="s">
        <v>3415</v>
      </c>
      <c r="O21" s="7" t="s">
        <v>3416</v>
      </c>
      <c r="P21" s="7" t="s">
        <v>3417</v>
      </c>
      <c r="Q21" s="7" t="s">
        <v>3344</v>
      </c>
      <c r="R21" s="7" t="s">
        <v>3418</v>
      </c>
      <c r="S21" s="7" t="s">
        <v>3209</v>
      </c>
      <c r="T21" s="7" t="s">
        <v>3419</v>
      </c>
      <c r="U21" s="7" t="s">
        <v>3420</v>
      </c>
      <c r="V21" s="7" t="s">
        <v>3212</v>
      </c>
    </row>
  </sheetData>
  <autoFilter ref="A4:V21"/>
  <dataValidations count="1">
    <dataValidation allowBlank="false" error="Use um número inteiro de 1 a 5" errorStyle="stop" operator="between" showDropDown="false" showErrorMessage="true" showInputMessage="false" sqref="G5:H2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R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2"/>
    <col collapsed="false" customWidth="true" hidden="false" outlineLevel="0" max="18" min="4" style="0" width="8"/>
  </cols>
  <sheetData>
    <row r="1" customFormat="false" ht="17.35" hidden="false" customHeight="false" outlineLevel="0" collapsed="false">
      <c r="A1" s="1" t="s">
        <v>3421</v>
      </c>
    </row>
    <row r="2" customFormat="false" ht="15" hidden="false" customHeight="false" outlineLevel="0" collapsed="false">
      <c r="A2" s="2" t="s">
        <v>3422</v>
      </c>
    </row>
    <row r="4" customFormat="false" ht="15" hidden="false" customHeight="false" outlineLevel="0" collapsed="false">
      <c r="A4" s="20" t="s">
        <v>3423</v>
      </c>
      <c r="B4" s="20" t="s">
        <v>3424</v>
      </c>
      <c r="C4" s="20" t="s">
        <v>3425</v>
      </c>
    </row>
    <row r="5" customFormat="false" ht="15" hidden="false" customHeight="false" outlineLevel="0" collapsed="false">
      <c r="A5" s="5" t="s">
        <v>3426</v>
      </c>
      <c r="B5" s="21" t="n">
        <v>0</v>
      </c>
      <c r="C5" s="22" t="s">
        <v>3427</v>
      </c>
    </row>
    <row r="6" customFormat="false" ht="15" hidden="false" customHeight="false" outlineLevel="0" collapsed="false">
      <c r="A6" s="5" t="s">
        <v>3428</v>
      </c>
      <c r="B6" s="21" t="n">
        <v>0</v>
      </c>
      <c r="C6" s="5" t="s">
        <v>3429</v>
      </c>
    </row>
    <row r="7" customFormat="false" ht="15" hidden="false" customHeight="false" outlineLevel="0" collapsed="false">
      <c r="A7" s="5" t="s">
        <v>3430</v>
      </c>
      <c r="B7" s="21" t="n">
        <v>0</v>
      </c>
      <c r="C7" s="5" t="s">
        <v>3431</v>
      </c>
    </row>
    <row r="8" customFormat="false" ht="15" hidden="false" customHeight="false" outlineLevel="0" collapsed="false">
      <c r="A8" s="5" t="s">
        <v>3432</v>
      </c>
      <c r="B8" s="21" t="n">
        <v>0</v>
      </c>
      <c r="C8" s="5" t="s">
        <v>3433</v>
      </c>
    </row>
    <row r="9" customFormat="false" ht="15" hidden="false" customHeight="false" outlineLevel="0" collapsed="false">
      <c r="A9" s="5" t="s">
        <v>3434</v>
      </c>
      <c r="B9" s="21" t="n">
        <v>0</v>
      </c>
      <c r="C9" s="5" t="s">
        <v>3435</v>
      </c>
    </row>
    <row r="12" customFormat="false" ht="15" hidden="false" customHeight="false" outlineLevel="0" collapsed="false">
      <c r="A12" s="11" t="s">
        <v>3436</v>
      </c>
    </row>
    <row r="13" customFormat="false" ht="15" hidden="false" customHeight="false" outlineLevel="0" collapsed="false">
      <c r="A13" s="20" t="s">
        <v>3423</v>
      </c>
      <c r="B13" s="23" t="s">
        <v>3196</v>
      </c>
      <c r="C13" s="23" t="s">
        <v>3213</v>
      </c>
      <c r="D13" s="23" t="s">
        <v>3227</v>
      </c>
      <c r="E13" s="23" t="s">
        <v>3241</v>
      </c>
      <c r="F13" s="23" t="s">
        <v>3255</v>
      </c>
      <c r="G13" s="23" t="s">
        <v>3268</v>
      </c>
      <c r="H13" s="23" t="s">
        <v>3282</v>
      </c>
      <c r="I13" s="23" t="s">
        <v>3296</v>
      </c>
      <c r="J13" s="23" t="s">
        <v>3309</v>
      </c>
      <c r="K13" s="23" t="s">
        <v>3322</v>
      </c>
      <c r="L13" s="23" t="s">
        <v>3334</v>
      </c>
      <c r="M13" s="23" t="s">
        <v>3348</v>
      </c>
      <c r="N13" s="23" t="s">
        <v>3359</v>
      </c>
      <c r="O13" s="23" t="s">
        <v>3372</v>
      </c>
      <c r="P13" s="23" t="s">
        <v>3384</v>
      </c>
      <c r="Q13" s="23" t="s">
        <v>3397</v>
      </c>
      <c r="R13" s="23" t="s">
        <v>3409</v>
      </c>
    </row>
    <row r="14" customFormat="false" ht="15" hidden="false" customHeight="false" outlineLevel="0" collapsed="false">
      <c r="A14" s="5" t="s">
        <v>3426</v>
      </c>
      <c r="B14" s="21" t="n">
        <v>1</v>
      </c>
      <c r="C14" s="21" t="n">
        <v>0</v>
      </c>
      <c r="D14" s="21" t="n">
        <v>0</v>
      </c>
      <c r="E14" s="21" t="n">
        <v>0</v>
      </c>
      <c r="F14" s="21" t="n">
        <v>0</v>
      </c>
      <c r="G14" s="21" t="n">
        <v>1</v>
      </c>
      <c r="H14" s="21" t="n">
        <v>0</v>
      </c>
      <c r="I14" s="21" t="n">
        <v>0</v>
      </c>
      <c r="J14" s="21" t="n">
        <v>0</v>
      </c>
      <c r="K14" s="21" t="n">
        <v>0</v>
      </c>
      <c r="L14" s="21" t="n">
        <v>0</v>
      </c>
      <c r="M14" s="21" t="n">
        <v>0</v>
      </c>
      <c r="N14" s="21" t="n">
        <v>0</v>
      </c>
      <c r="O14" s="21" t="n">
        <v>0</v>
      </c>
      <c r="P14" s="21" t="n">
        <v>0</v>
      </c>
      <c r="Q14" s="21" t="n">
        <v>0</v>
      </c>
      <c r="R14" s="21" t="n">
        <v>0</v>
      </c>
    </row>
    <row r="15" customFormat="false" ht="15" hidden="false" customHeight="false" outlineLevel="0" collapsed="false">
      <c r="A15" s="5" t="s">
        <v>3428</v>
      </c>
      <c r="B15" s="21" t="n">
        <v>0</v>
      </c>
      <c r="C15" s="21" t="n">
        <v>0</v>
      </c>
      <c r="D15" s="21" t="n">
        <v>0</v>
      </c>
      <c r="E15" s="21" t="n">
        <v>0</v>
      </c>
      <c r="F15" s="21" t="n">
        <v>0</v>
      </c>
      <c r="G15" s="21" t="n">
        <v>0</v>
      </c>
      <c r="H15" s="21" t="n">
        <v>1</v>
      </c>
      <c r="I15" s="21" t="n">
        <v>1</v>
      </c>
      <c r="J15" s="21" t="n">
        <v>1</v>
      </c>
      <c r="K15" s="21" t="n">
        <v>0</v>
      </c>
      <c r="L15" s="21" t="n">
        <v>0</v>
      </c>
      <c r="M15" s="21" t="n">
        <v>0</v>
      </c>
      <c r="N15" s="21" t="n">
        <v>0</v>
      </c>
      <c r="O15" s="21" t="n">
        <v>0</v>
      </c>
      <c r="P15" s="21" t="n">
        <v>0</v>
      </c>
      <c r="Q15" s="21" t="n">
        <v>0</v>
      </c>
      <c r="R15" s="21" t="n">
        <v>0</v>
      </c>
    </row>
    <row r="16" customFormat="false" ht="15" hidden="false" customHeight="false" outlineLevel="0" collapsed="false">
      <c r="A16" s="5" t="s">
        <v>3430</v>
      </c>
      <c r="B16" s="21" t="n">
        <v>0</v>
      </c>
      <c r="C16" s="21" t="n">
        <v>0</v>
      </c>
      <c r="D16" s="21" t="n">
        <v>1</v>
      </c>
      <c r="E16" s="21" t="n">
        <v>0</v>
      </c>
      <c r="F16" s="21" t="n">
        <v>0</v>
      </c>
      <c r="G16" s="21" t="n">
        <v>0</v>
      </c>
      <c r="H16" s="21" t="n">
        <v>0</v>
      </c>
      <c r="I16" s="21" t="n">
        <v>0</v>
      </c>
      <c r="J16" s="21" t="n">
        <v>1</v>
      </c>
      <c r="K16" s="21" t="n">
        <v>0</v>
      </c>
      <c r="L16" s="21" t="n">
        <v>1</v>
      </c>
      <c r="M16" s="21" t="n">
        <v>0</v>
      </c>
      <c r="N16" s="21" t="n">
        <v>0</v>
      </c>
      <c r="O16" s="21" t="n">
        <v>0</v>
      </c>
      <c r="P16" s="21" t="n">
        <v>0</v>
      </c>
      <c r="Q16" s="21" t="n">
        <v>0</v>
      </c>
      <c r="R16" s="21" t="n">
        <v>0</v>
      </c>
    </row>
    <row r="17" customFormat="false" ht="15" hidden="false" customHeight="false" outlineLevel="0" collapsed="false">
      <c r="A17" s="5" t="s">
        <v>3432</v>
      </c>
      <c r="B17" s="21" t="n">
        <v>0</v>
      </c>
      <c r="C17" s="21" t="n">
        <v>0</v>
      </c>
      <c r="D17" s="21" t="n">
        <v>0</v>
      </c>
      <c r="E17" s="21" t="n">
        <v>0</v>
      </c>
      <c r="F17" s="21" t="n">
        <v>0</v>
      </c>
      <c r="G17" s="21" t="n">
        <v>0</v>
      </c>
      <c r="H17" s="21" t="n">
        <v>0</v>
      </c>
      <c r="I17" s="21" t="n">
        <v>0</v>
      </c>
      <c r="J17" s="21" t="n">
        <v>0</v>
      </c>
      <c r="K17" s="21" t="n">
        <v>1</v>
      </c>
      <c r="L17" s="21" t="n">
        <v>1</v>
      </c>
      <c r="M17" s="21" t="n">
        <v>0</v>
      </c>
      <c r="N17" s="21" t="n">
        <v>0</v>
      </c>
      <c r="O17" s="21" t="n">
        <v>0</v>
      </c>
      <c r="P17" s="21" t="n">
        <v>1</v>
      </c>
      <c r="Q17" s="21" t="n">
        <v>1</v>
      </c>
      <c r="R17" s="21" t="n">
        <v>0</v>
      </c>
    </row>
    <row r="18" customFormat="false" ht="15" hidden="false" customHeight="false" outlineLevel="0" collapsed="false">
      <c r="A18" s="5" t="s">
        <v>3434</v>
      </c>
      <c r="B18" s="21" t="n">
        <v>0</v>
      </c>
      <c r="C18" s="21" t="n">
        <v>0</v>
      </c>
      <c r="D18" s="21" t="n">
        <v>0</v>
      </c>
      <c r="E18" s="21" t="n">
        <v>1</v>
      </c>
      <c r="F18" s="21" t="n">
        <v>1</v>
      </c>
      <c r="G18" s="21" t="n">
        <v>0</v>
      </c>
      <c r="H18" s="21" t="n">
        <v>0</v>
      </c>
      <c r="I18" s="21" t="n">
        <v>0</v>
      </c>
      <c r="J18" s="21" t="n">
        <v>0</v>
      </c>
      <c r="K18" s="21" t="n">
        <v>0</v>
      </c>
      <c r="L18" s="21" t="n">
        <v>0</v>
      </c>
      <c r="M18" s="21" t="n">
        <v>0</v>
      </c>
      <c r="N18" s="21" t="n">
        <v>0</v>
      </c>
      <c r="O18" s="21" t="n">
        <v>1</v>
      </c>
      <c r="P18" s="21" t="n">
        <v>0</v>
      </c>
      <c r="Q18" s="21" t="n">
        <v>0</v>
      </c>
      <c r="R18" s="21" t="n">
        <v>0</v>
      </c>
    </row>
    <row r="21" customFormat="false" ht="15" hidden="false" customHeight="false" outlineLevel="0" collapsed="false">
      <c r="A21" s="11" t="s">
        <v>3437</v>
      </c>
    </row>
    <row r="22" customFormat="false" ht="15" hidden="false" customHeight="false" outlineLevel="0" collapsed="false">
      <c r="A22" s="20" t="s">
        <v>3423</v>
      </c>
      <c r="B22" s="23" t="s">
        <v>3196</v>
      </c>
      <c r="C22" s="23" t="s">
        <v>3213</v>
      </c>
      <c r="D22" s="23" t="s">
        <v>3227</v>
      </c>
      <c r="E22" s="23" t="s">
        <v>3241</v>
      </c>
      <c r="F22" s="23" t="s">
        <v>3255</v>
      </c>
      <c r="G22" s="23" t="s">
        <v>3268</v>
      </c>
      <c r="H22" s="23" t="s">
        <v>3282</v>
      </c>
      <c r="I22" s="23" t="s">
        <v>3296</v>
      </c>
      <c r="J22" s="23" t="s">
        <v>3309</v>
      </c>
      <c r="K22" s="23" t="s">
        <v>3322</v>
      </c>
      <c r="L22" s="23" t="s">
        <v>3334</v>
      </c>
      <c r="M22" s="23" t="s">
        <v>3348</v>
      </c>
      <c r="N22" s="23" t="s">
        <v>3359</v>
      </c>
      <c r="O22" s="23" t="s">
        <v>3372</v>
      </c>
      <c r="P22" s="23" t="s">
        <v>3384</v>
      </c>
      <c r="Q22" s="23" t="s">
        <v>3397</v>
      </c>
      <c r="R22" s="23" t="s">
        <v>3409</v>
      </c>
    </row>
    <row r="23" customFormat="false" ht="15" hidden="false" customHeight="false" outlineLevel="0" collapsed="false">
      <c r="A23" s="5" t="s">
        <v>3426</v>
      </c>
      <c r="B23" s="21" t="n">
        <v>0</v>
      </c>
      <c r="C23" s="21" t="n">
        <v>1</v>
      </c>
      <c r="D23" s="21" t="n">
        <v>0</v>
      </c>
      <c r="E23" s="21" t="n">
        <v>0</v>
      </c>
      <c r="F23" s="21" t="n">
        <v>0</v>
      </c>
      <c r="G23" s="21" t="n">
        <v>1</v>
      </c>
      <c r="H23" s="21" t="n">
        <v>0</v>
      </c>
      <c r="I23" s="21" t="n">
        <v>0</v>
      </c>
      <c r="J23" s="21" t="n">
        <v>0</v>
      </c>
      <c r="K23" s="21" t="n">
        <v>0</v>
      </c>
      <c r="L23" s="21" t="n">
        <v>0</v>
      </c>
      <c r="M23" s="21" t="n">
        <v>0</v>
      </c>
      <c r="N23" s="21" t="n">
        <v>0</v>
      </c>
      <c r="O23" s="21" t="n">
        <v>0</v>
      </c>
      <c r="P23" s="21" t="n">
        <v>0</v>
      </c>
      <c r="Q23" s="21" t="n">
        <v>0</v>
      </c>
      <c r="R23" s="21" t="n">
        <v>0</v>
      </c>
    </row>
    <row r="24" customFormat="false" ht="15" hidden="false" customHeight="false" outlineLevel="0" collapsed="false">
      <c r="A24" s="5" t="s">
        <v>3428</v>
      </c>
      <c r="B24" s="21" t="n">
        <v>0</v>
      </c>
      <c r="C24" s="21" t="n">
        <v>0</v>
      </c>
      <c r="D24" s="21" t="n">
        <v>0</v>
      </c>
      <c r="E24" s="21" t="n">
        <v>0</v>
      </c>
      <c r="F24" s="21" t="n">
        <v>0</v>
      </c>
      <c r="G24" s="21" t="n">
        <v>0</v>
      </c>
      <c r="H24" s="21" t="n">
        <v>0</v>
      </c>
      <c r="I24" s="21" t="n">
        <v>0</v>
      </c>
      <c r="J24" s="21" t="n">
        <v>1</v>
      </c>
      <c r="K24" s="21" t="n">
        <v>0</v>
      </c>
      <c r="L24" s="21" t="n">
        <v>0</v>
      </c>
      <c r="M24" s="21" t="n">
        <v>0</v>
      </c>
      <c r="N24" s="21" t="n">
        <v>0</v>
      </c>
      <c r="O24" s="21" t="n">
        <v>0</v>
      </c>
      <c r="P24" s="21" t="n">
        <v>0</v>
      </c>
      <c r="Q24" s="21" t="n">
        <v>0</v>
      </c>
      <c r="R24" s="21" t="n">
        <v>0</v>
      </c>
    </row>
    <row r="25" customFormat="false" ht="15" hidden="false" customHeight="false" outlineLevel="0" collapsed="false">
      <c r="A25" s="5" t="s">
        <v>3430</v>
      </c>
      <c r="B25" s="21" t="n">
        <v>0</v>
      </c>
      <c r="C25" s="21" t="n">
        <v>0</v>
      </c>
      <c r="D25" s="21" t="n">
        <v>0</v>
      </c>
      <c r="E25" s="21" t="n">
        <v>0</v>
      </c>
      <c r="F25" s="21" t="n">
        <v>0</v>
      </c>
      <c r="G25" s="21" t="n">
        <v>0</v>
      </c>
      <c r="H25" s="21" t="n">
        <v>0</v>
      </c>
      <c r="I25" s="21" t="n">
        <v>0</v>
      </c>
      <c r="J25" s="21" t="n">
        <v>0</v>
      </c>
      <c r="K25" s="21" t="n">
        <v>0</v>
      </c>
      <c r="L25" s="21" t="n">
        <v>0</v>
      </c>
      <c r="M25" s="21" t="n">
        <v>1</v>
      </c>
      <c r="N25" s="21" t="n">
        <v>0</v>
      </c>
      <c r="O25" s="21" t="n">
        <v>0</v>
      </c>
      <c r="P25" s="21" t="n">
        <v>0</v>
      </c>
      <c r="Q25" s="21" t="n">
        <v>0</v>
      </c>
      <c r="R25" s="21" t="n">
        <v>0</v>
      </c>
    </row>
    <row r="26" customFormat="false" ht="15" hidden="false" customHeight="false" outlineLevel="0" collapsed="false">
      <c r="A26" s="5" t="s">
        <v>3432</v>
      </c>
      <c r="B26" s="21" t="n">
        <v>0</v>
      </c>
      <c r="C26" s="21" t="n">
        <v>0</v>
      </c>
      <c r="D26" s="21" t="n">
        <v>0</v>
      </c>
      <c r="E26" s="21" t="n">
        <v>1</v>
      </c>
      <c r="F26" s="21" t="n">
        <v>0</v>
      </c>
      <c r="G26" s="21" t="n">
        <v>0</v>
      </c>
      <c r="H26" s="21" t="n">
        <v>0</v>
      </c>
      <c r="I26" s="21" t="n">
        <v>0</v>
      </c>
      <c r="J26" s="21" t="n">
        <v>0</v>
      </c>
      <c r="K26" s="21" t="n">
        <v>0</v>
      </c>
      <c r="L26" s="21" t="n">
        <v>0</v>
      </c>
      <c r="M26" s="21" t="n">
        <v>0</v>
      </c>
      <c r="N26" s="21" t="n">
        <v>0</v>
      </c>
      <c r="O26" s="21" t="n">
        <v>0</v>
      </c>
      <c r="P26" s="21" t="n">
        <v>0</v>
      </c>
      <c r="Q26" s="21" t="n">
        <v>0</v>
      </c>
      <c r="R26" s="21" t="n">
        <v>0</v>
      </c>
    </row>
    <row r="27" customFormat="false" ht="15" hidden="false" customHeight="false" outlineLevel="0" collapsed="false">
      <c r="A27" s="5" t="s">
        <v>3434</v>
      </c>
      <c r="B27" s="21" t="n">
        <v>0</v>
      </c>
      <c r="C27" s="21" t="n">
        <v>0</v>
      </c>
      <c r="D27" s="21" t="n">
        <v>0</v>
      </c>
      <c r="E27" s="21" t="n">
        <v>0</v>
      </c>
      <c r="F27" s="21" t="n">
        <v>0</v>
      </c>
      <c r="G27" s="21" t="n">
        <v>0</v>
      </c>
      <c r="H27" s="21" t="n">
        <v>0</v>
      </c>
      <c r="I27" s="21" t="n">
        <v>0</v>
      </c>
      <c r="J27" s="21" t="n">
        <v>0</v>
      </c>
      <c r="K27" s="21" t="n">
        <v>0</v>
      </c>
      <c r="L27" s="21" t="n">
        <v>0</v>
      </c>
      <c r="M27" s="21" t="n">
        <v>0</v>
      </c>
      <c r="N27" s="21" t="n">
        <v>0</v>
      </c>
      <c r="O27" s="21" t="n">
        <v>0</v>
      </c>
      <c r="P27" s="21" t="n">
        <v>0</v>
      </c>
      <c r="Q27" s="21" t="n">
        <v>0</v>
      </c>
      <c r="R27" s="21" t="n">
        <v>0</v>
      </c>
    </row>
  </sheetData>
  <dataValidations count="1">
    <dataValidation allowBlank="false" errorStyle="stop" operator="between" showDropDown="false" showErrorMessage="false" showInputMessage="false" sqref="B5:B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T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0"/>
    <col collapsed="false" customWidth="true" hidden="false" outlineLevel="0" max="5" min="4" style="0" width="7"/>
    <col collapsed="false" customWidth="true" hidden="false" outlineLevel="0" max="6" min="6" style="0" width="8"/>
    <col collapsed="false" customWidth="true" hidden="false" outlineLevel="0" max="7" min="7" style="0" width="11"/>
    <col collapsed="false" customWidth="true" hidden="false" outlineLevel="0" max="9" min="8" style="0" width="9"/>
    <col collapsed="false" customWidth="true" hidden="false" outlineLevel="0" max="11" min="10" style="0" width="10"/>
    <col collapsed="false" customWidth="true" hidden="false" outlineLevel="0" max="12" min="12" style="0" width="14"/>
    <col collapsed="false" customWidth="true" hidden="false" outlineLevel="0" max="14" min="13" style="0" width="10"/>
    <col collapsed="false" customWidth="true" hidden="false" outlineLevel="0" max="17" min="15" style="0" width="9"/>
    <col collapsed="false" customWidth="true" hidden="false" outlineLevel="0" max="18" min="18" style="0" width="11"/>
    <col collapsed="false" customWidth="true" hidden="false" outlineLevel="0" max="19" min="19" style="0" width="8"/>
    <col collapsed="false" customWidth="true" hidden="false" outlineLevel="0" max="20" min="20" style="0" width="11"/>
  </cols>
  <sheetData>
    <row r="1" customFormat="false" ht="17.35" hidden="false" customHeight="false" outlineLevel="0" collapsed="false">
      <c r="A1" s="1" t="s">
        <v>3438</v>
      </c>
    </row>
    <row r="2" customFormat="false" ht="15" hidden="false" customHeight="false" outlineLevel="0" collapsed="false">
      <c r="A2" s="2" t="s">
        <v>3439</v>
      </c>
    </row>
    <row r="3" customFormat="false" ht="15" hidden="false" customHeight="false" outlineLevel="0" collapsed="false">
      <c r="A3" s="11" t="s">
        <v>3440</v>
      </c>
      <c r="D3" s="24" t="n">
        <f aca="false">SUM(RISCO_ESTRESSE!B5:B9)</f>
        <v>0</v>
      </c>
    </row>
    <row r="4" customFormat="false" ht="15" hidden="false" customHeight="false" outlineLevel="0" collapsed="false">
      <c r="A4" s="11" t="s">
        <v>3441</v>
      </c>
      <c r="D4" s="24" t="n">
        <f aca="false">COUNTIF(G6:G22,"Crítico")</f>
        <v>3</v>
      </c>
      <c r="E4" s="24" t="n">
        <f aca="false">COUNTIF(R6:R22,"Crítico")</f>
        <v>3</v>
      </c>
    </row>
    <row r="5" customFormat="false" ht="43.5" hidden="false" customHeight="true" outlineLevel="0" collapsed="false">
      <c r="A5" s="6" t="s">
        <v>118</v>
      </c>
      <c r="B5" s="6" t="s">
        <v>3177</v>
      </c>
      <c r="C5" s="6" t="s">
        <v>3178</v>
      </c>
      <c r="D5" s="6" t="s">
        <v>3442</v>
      </c>
      <c r="E5" s="6" t="s">
        <v>3443</v>
      </c>
      <c r="F5" s="6" t="s">
        <v>3444</v>
      </c>
      <c r="G5" s="6" t="s">
        <v>3445</v>
      </c>
      <c r="H5" s="6" t="s">
        <v>3446</v>
      </c>
      <c r="I5" s="6" t="s">
        <v>3447</v>
      </c>
      <c r="J5" s="6" t="s">
        <v>3448</v>
      </c>
      <c r="K5" s="6" t="s">
        <v>3449</v>
      </c>
      <c r="L5" s="6" t="s">
        <v>3450</v>
      </c>
      <c r="M5" s="6" t="s">
        <v>3451</v>
      </c>
      <c r="N5" s="6" t="s">
        <v>3452</v>
      </c>
      <c r="O5" s="6" t="s">
        <v>3453</v>
      </c>
      <c r="P5" s="6" t="s">
        <v>3454</v>
      </c>
      <c r="Q5" s="6" t="s">
        <v>3455</v>
      </c>
      <c r="R5" s="6" t="s">
        <v>3456</v>
      </c>
      <c r="S5" s="6" t="s">
        <v>3457</v>
      </c>
      <c r="T5" s="6" t="s">
        <v>3458</v>
      </c>
    </row>
    <row r="6" customFormat="false" ht="15" hidden="false" customHeight="false" outlineLevel="0" collapsed="false">
      <c r="A6" s="7" t="str">
        <f aca="false">RISCO_MATRIZ_17!A5</f>
        <v>RM-01</v>
      </c>
      <c r="B6" s="7" t="str">
        <f aca="false">RISCO_MATRIZ_17!B5</f>
        <v>CGU · Perguntas</v>
      </c>
      <c r="C6" s="7" t="str">
        <f aca="false">RISCO_MATRIZ_17!C5</f>
        <v>Comprometimento da Alta Direção</v>
      </c>
      <c r="D6" s="25" t="n">
        <f aca="false">RISCO_MATRIZ_17!G5</f>
        <v>4</v>
      </c>
      <c r="E6" s="25" t="n">
        <f aca="false">RISCO_MATRIZ_17!H5</f>
        <v>5</v>
      </c>
      <c r="F6" s="25" t="n">
        <f aca="false">D6*E6</f>
        <v>20</v>
      </c>
      <c r="G6" s="7" t="str">
        <f aca="false">IF(F6&gt;=RISCO_PARAMETROS!$B$6,"Crítico",IF(F6&gt;=RISCO_PARAMETROS!$B$7,"Alto",IF(F6&gt;=RISCO_PARAMETROS!$B$8,"Moderado","Baixo")))</f>
        <v>Crítico</v>
      </c>
      <c r="H6" s="25" t="n">
        <f aca="false">SUMPRODUCT(RISCO_ESTRESSE!$B$5:$B$9,RISCO_ESTRESSE!B$14:B$18)</f>
        <v>0</v>
      </c>
      <c r="I6" s="25" t="n">
        <f aca="false">SUMPRODUCT(RISCO_ESTRESSE!$B$5:$B$9,RISCO_ESTRESSE!B$23:B$27)</f>
        <v>0</v>
      </c>
      <c r="J6" s="26" t="n">
        <v>0</v>
      </c>
      <c r="K6" s="26" t="n">
        <v>0</v>
      </c>
      <c r="L6" s="27" t="n">
        <f aca="false">IFERROR(COUNTIFS(PMO_PLANO!$F$10:$F$44,A6,PMO_PLANO!$K$10:$K$44,"Concluída")/COUNTIFS(PMO_PLANO!$F$10:$F$44,A6,PMO_PLANO!$K$10:$K$44,"&lt;&gt;Cancelada"),0)</f>
        <v>0</v>
      </c>
      <c r="M6" s="25" t="n">
        <f aca="false">L6*RISCO_PARAMETROS!$B$13</f>
        <v>0</v>
      </c>
      <c r="N6" s="25" t="n">
        <f aca="false">L6*RISCO_PARAMETROS!$B$14</f>
        <v>0</v>
      </c>
      <c r="O6" s="25" t="n">
        <f aca="false">MAX(1,MIN(5,D6+H6+J6-M6))</f>
        <v>4</v>
      </c>
      <c r="P6" s="25" t="n">
        <f aca="false">MAX(1,MIN(5,E6+I6+K6-N6))</f>
        <v>5</v>
      </c>
      <c r="Q6" s="25" t="n">
        <f aca="false">O6*P6</f>
        <v>20</v>
      </c>
      <c r="R6" s="7" t="str">
        <f aca="false">IF(Q6&gt;=RISCO_PARAMETROS!$B$6,"Crítico",IF(Q6&gt;=RISCO_PARAMETROS!$B$7,"Alto",IF(Q6&gt;=RISCO_PARAMETROS!$B$8,"Moderado","Baixo")))</f>
        <v>Crítico</v>
      </c>
      <c r="S6" s="25" t="n">
        <f aca="false">Q6-F6</f>
        <v>0</v>
      </c>
      <c r="T6" s="7" t="str">
        <f aca="false">IF(Q6&gt;RISCO_PARAMETROS!$B$9,"Sim","Não")</f>
        <v>Sim</v>
      </c>
    </row>
    <row r="7" customFormat="false" ht="23.85" hidden="false" customHeight="false" outlineLevel="0" collapsed="false">
      <c r="A7" s="7" t="str">
        <f aca="false">RISCO_MATRIZ_17!A6</f>
        <v>RM-02</v>
      </c>
      <c r="B7" s="7" t="str">
        <f aca="false">RISCO_MATRIZ_17!B6</f>
        <v>CGU · Perguntas</v>
      </c>
      <c r="C7" s="7" t="str">
        <f aca="false">RISCO_MATRIZ_17!C6</f>
        <v>Instância Responsável pelo Programa</v>
      </c>
      <c r="D7" s="25" t="n">
        <f aca="false">RISCO_MATRIZ_17!G6</f>
        <v>3</v>
      </c>
      <c r="E7" s="25" t="n">
        <f aca="false">RISCO_MATRIZ_17!H6</f>
        <v>5</v>
      </c>
      <c r="F7" s="25" t="n">
        <f aca="false">D7*E7</f>
        <v>15</v>
      </c>
      <c r="G7" s="7" t="str">
        <f aca="false">IF(F7&gt;=RISCO_PARAMETROS!$B$6,"Crítico",IF(F7&gt;=RISCO_PARAMETROS!$B$7,"Alto",IF(F7&gt;=RISCO_PARAMETROS!$B$8,"Moderado","Baixo")))</f>
        <v>Alto</v>
      </c>
      <c r="H7" s="25" t="n">
        <f aca="false">SUMPRODUCT(RISCO_ESTRESSE!$B$5:$B$9,RISCO_ESTRESSE!C$14:C$18)</f>
        <v>0</v>
      </c>
      <c r="I7" s="25" t="n">
        <f aca="false">SUMPRODUCT(RISCO_ESTRESSE!$B$5:$B$9,RISCO_ESTRESSE!C$23:C$27)</f>
        <v>0</v>
      </c>
      <c r="J7" s="26" t="n">
        <v>0</v>
      </c>
      <c r="K7" s="26" t="n">
        <v>0</v>
      </c>
      <c r="L7" s="27" t="n">
        <f aca="false">IFERROR(COUNTIFS(PMO_PLANO!$F$10:$F$44,A7,PMO_PLANO!$K$10:$K$44,"Concluída")/COUNTIFS(PMO_PLANO!$F$10:$F$44,A7,PMO_PLANO!$K$10:$K$44,"&lt;&gt;Cancelada"),0)</f>
        <v>0</v>
      </c>
      <c r="M7" s="25" t="n">
        <f aca="false">L7*RISCO_PARAMETROS!$B$13</f>
        <v>0</v>
      </c>
      <c r="N7" s="25" t="n">
        <f aca="false">L7*RISCO_PARAMETROS!$B$14</f>
        <v>0</v>
      </c>
      <c r="O7" s="25" t="n">
        <f aca="false">MAX(1,MIN(5,D7+H7+J7-M7))</f>
        <v>3</v>
      </c>
      <c r="P7" s="25" t="n">
        <f aca="false">MAX(1,MIN(5,E7+I7+K7-N7))</f>
        <v>5</v>
      </c>
      <c r="Q7" s="25" t="n">
        <f aca="false">O7*P7</f>
        <v>15</v>
      </c>
      <c r="R7" s="7" t="str">
        <f aca="false">IF(Q7&gt;=RISCO_PARAMETROS!$B$6,"Crítico",IF(Q7&gt;=RISCO_PARAMETROS!$B$7,"Alto",IF(Q7&gt;=RISCO_PARAMETROS!$B$8,"Moderado","Baixo")))</f>
        <v>Alto</v>
      </c>
      <c r="S7" s="25" t="n">
        <f aca="false">Q7-F7</f>
        <v>0</v>
      </c>
      <c r="T7" s="7" t="str">
        <f aca="false">IF(Q7&gt;RISCO_PARAMETROS!$B$9,"Sim","Não")</f>
        <v>Sim</v>
      </c>
    </row>
    <row r="8" customFormat="false" ht="15" hidden="false" customHeight="false" outlineLevel="0" collapsed="false">
      <c r="A8" s="7" t="str">
        <f aca="false">RISCO_MATRIZ_17!A7</f>
        <v>RM-03</v>
      </c>
      <c r="B8" s="7" t="str">
        <f aca="false">RISCO_MATRIZ_17!B7</f>
        <v>CGU · Perguntas</v>
      </c>
      <c r="C8" s="7" t="str">
        <f aca="false">RISCO_MATRIZ_17!C7</f>
        <v>Gestão de Riscos para a Integridade</v>
      </c>
      <c r="D8" s="25" t="n">
        <f aca="false">RISCO_MATRIZ_17!G7</f>
        <v>4</v>
      </c>
      <c r="E8" s="25" t="n">
        <f aca="false">RISCO_MATRIZ_17!H7</f>
        <v>4</v>
      </c>
      <c r="F8" s="25" t="n">
        <f aca="false">D8*E8</f>
        <v>16</v>
      </c>
      <c r="G8" s="7" t="str">
        <f aca="false">IF(F8&gt;=RISCO_PARAMETROS!$B$6,"Crítico",IF(F8&gt;=RISCO_PARAMETROS!$B$7,"Alto",IF(F8&gt;=RISCO_PARAMETROS!$B$8,"Moderado","Baixo")))</f>
        <v>Alto</v>
      </c>
      <c r="H8" s="25" t="n">
        <f aca="false">SUMPRODUCT(RISCO_ESTRESSE!$B$5:$B$9,RISCO_ESTRESSE!D$14:D$18)</f>
        <v>0</v>
      </c>
      <c r="I8" s="25" t="n">
        <f aca="false">SUMPRODUCT(RISCO_ESTRESSE!$B$5:$B$9,RISCO_ESTRESSE!D$23:D$27)</f>
        <v>0</v>
      </c>
      <c r="J8" s="26" t="n">
        <v>0</v>
      </c>
      <c r="K8" s="26" t="n">
        <v>0</v>
      </c>
      <c r="L8" s="27" t="n">
        <f aca="false">IFERROR(COUNTIFS(PMO_PLANO!$F$10:$F$44,A8,PMO_PLANO!$K$10:$K$44,"Concluída")/COUNTIFS(PMO_PLANO!$F$10:$F$44,A8,PMO_PLANO!$K$10:$K$44,"&lt;&gt;Cancelada"),0)</f>
        <v>0</v>
      </c>
      <c r="M8" s="25" t="n">
        <f aca="false">L8*RISCO_PARAMETROS!$B$13</f>
        <v>0</v>
      </c>
      <c r="N8" s="25" t="n">
        <f aca="false">L8*RISCO_PARAMETROS!$B$14</f>
        <v>0</v>
      </c>
      <c r="O8" s="25" t="n">
        <f aca="false">MAX(1,MIN(5,D8+H8+J8-M8))</f>
        <v>4</v>
      </c>
      <c r="P8" s="25" t="n">
        <f aca="false">MAX(1,MIN(5,E8+I8+K8-N8))</f>
        <v>4</v>
      </c>
      <c r="Q8" s="25" t="n">
        <f aca="false">O8*P8</f>
        <v>16</v>
      </c>
      <c r="R8" s="7" t="str">
        <f aca="false">IF(Q8&gt;=RISCO_PARAMETROS!$B$6,"Crítico",IF(Q8&gt;=RISCO_PARAMETROS!$B$7,"Alto",IF(Q8&gt;=RISCO_PARAMETROS!$B$8,"Moderado","Baixo")))</f>
        <v>Alto</v>
      </c>
      <c r="S8" s="25" t="n">
        <f aca="false">Q8-F8</f>
        <v>0</v>
      </c>
      <c r="T8" s="7" t="str">
        <f aca="false">IF(Q8&gt;RISCO_PARAMETROS!$B$9,"Sim","Não")</f>
        <v>Sim</v>
      </c>
    </row>
    <row r="9" customFormat="false" ht="23.85" hidden="false" customHeight="false" outlineLevel="0" collapsed="false">
      <c r="A9" s="7" t="str">
        <f aca="false">RISCO_MATRIZ_17!A8</f>
        <v>RM-04</v>
      </c>
      <c r="B9" s="7" t="str">
        <f aca="false">RISCO_MATRIZ_17!B8</f>
        <v>CGU · Perguntas</v>
      </c>
      <c r="C9" s="7" t="str">
        <f aca="false">RISCO_MATRIZ_17!C8</f>
        <v>Código de Ética, Políticas e Procedimentos</v>
      </c>
      <c r="D9" s="25" t="n">
        <f aca="false">RISCO_MATRIZ_17!G8</f>
        <v>4</v>
      </c>
      <c r="E9" s="25" t="n">
        <f aca="false">RISCO_MATRIZ_17!H8</f>
        <v>4</v>
      </c>
      <c r="F9" s="25" t="n">
        <f aca="false">D9*E9</f>
        <v>16</v>
      </c>
      <c r="G9" s="7" t="str">
        <f aca="false">IF(F9&gt;=RISCO_PARAMETROS!$B$6,"Crítico",IF(F9&gt;=RISCO_PARAMETROS!$B$7,"Alto",IF(F9&gt;=RISCO_PARAMETROS!$B$8,"Moderado","Baixo")))</f>
        <v>Alto</v>
      </c>
      <c r="H9" s="25" t="n">
        <f aca="false">SUMPRODUCT(RISCO_ESTRESSE!$B$5:$B$9,RISCO_ESTRESSE!E$14:E$18)</f>
        <v>0</v>
      </c>
      <c r="I9" s="25" t="n">
        <f aca="false">SUMPRODUCT(RISCO_ESTRESSE!$B$5:$B$9,RISCO_ESTRESSE!E$23:E$27)</f>
        <v>0</v>
      </c>
      <c r="J9" s="26" t="n">
        <v>0</v>
      </c>
      <c r="K9" s="26" t="n">
        <v>0</v>
      </c>
      <c r="L9" s="27" t="n">
        <f aca="false">IFERROR(COUNTIFS(PMO_PLANO!$F$10:$F$44,A9,PMO_PLANO!$K$10:$K$44,"Concluída")/COUNTIFS(PMO_PLANO!$F$10:$F$44,A9,PMO_PLANO!$K$10:$K$44,"&lt;&gt;Cancelada"),0)</f>
        <v>0</v>
      </c>
      <c r="M9" s="25" t="n">
        <f aca="false">L9*RISCO_PARAMETROS!$B$13</f>
        <v>0</v>
      </c>
      <c r="N9" s="25" t="n">
        <f aca="false">L9*RISCO_PARAMETROS!$B$14</f>
        <v>0</v>
      </c>
      <c r="O9" s="25" t="n">
        <f aca="false">MAX(1,MIN(5,D9+H9+J9-M9))</f>
        <v>4</v>
      </c>
      <c r="P9" s="25" t="n">
        <f aca="false">MAX(1,MIN(5,E9+I9+K9-N9))</f>
        <v>4</v>
      </c>
      <c r="Q9" s="25" t="n">
        <f aca="false">O9*P9</f>
        <v>16</v>
      </c>
      <c r="R9" s="7" t="str">
        <f aca="false">IF(Q9&gt;=RISCO_PARAMETROS!$B$6,"Crítico",IF(Q9&gt;=RISCO_PARAMETROS!$B$7,"Alto",IF(Q9&gt;=RISCO_PARAMETROS!$B$8,"Moderado","Baixo")))</f>
        <v>Alto</v>
      </c>
      <c r="S9" s="25" t="n">
        <f aca="false">Q9-F9</f>
        <v>0</v>
      </c>
      <c r="T9" s="7" t="str">
        <f aca="false">IF(Q9&gt;RISCO_PARAMETROS!$B$9,"Sim","Não")</f>
        <v>Sim</v>
      </c>
    </row>
    <row r="10" customFormat="false" ht="15" hidden="false" customHeight="false" outlineLevel="0" collapsed="false">
      <c r="A10" s="7" t="str">
        <f aca="false">RISCO_MATRIZ_17!A9</f>
        <v>RM-05</v>
      </c>
      <c r="B10" s="7" t="str">
        <f aca="false">RISCO_MATRIZ_17!B9</f>
        <v>CGU · Perguntas</v>
      </c>
      <c r="C10" s="7" t="str">
        <f aca="false">RISCO_MATRIZ_17!C9</f>
        <v>Treinamento e Comunicação</v>
      </c>
      <c r="D10" s="25" t="n">
        <f aca="false">RISCO_MATRIZ_17!G9</f>
        <v>3</v>
      </c>
      <c r="E10" s="25" t="n">
        <f aca="false">RISCO_MATRIZ_17!H9</f>
        <v>4</v>
      </c>
      <c r="F10" s="25" t="n">
        <f aca="false">D10*E10</f>
        <v>12</v>
      </c>
      <c r="G10" s="7" t="str">
        <f aca="false">IF(F10&gt;=RISCO_PARAMETROS!$B$6,"Crítico",IF(F10&gt;=RISCO_PARAMETROS!$B$7,"Alto",IF(F10&gt;=RISCO_PARAMETROS!$B$8,"Moderado","Baixo")))</f>
        <v>Alto</v>
      </c>
      <c r="H10" s="25" t="n">
        <f aca="false">SUMPRODUCT(RISCO_ESTRESSE!$B$5:$B$9,RISCO_ESTRESSE!F$14:F$18)</f>
        <v>0</v>
      </c>
      <c r="I10" s="25" t="n">
        <f aca="false">SUMPRODUCT(RISCO_ESTRESSE!$B$5:$B$9,RISCO_ESTRESSE!F$23:F$27)</f>
        <v>0</v>
      </c>
      <c r="J10" s="26" t="n">
        <v>0</v>
      </c>
      <c r="K10" s="26" t="n">
        <v>0</v>
      </c>
      <c r="L10" s="27" t="n">
        <f aca="false">IFERROR(COUNTIFS(PMO_PLANO!$F$10:$F$44,A10,PMO_PLANO!$K$10:$K$44,"Concluída")/COUNTIFS(PMO_PLANO!$F$10:$F$44,A10,PMO_PLANO!$K$10:$K$44,"&lt;&gt;Cancelada"),0)</f>
        <v>0</v>
      </c>
      <c r="M10" s="25" t="n">
        <f aca="false">L10*RISCO_PARAMETROS!$B$13</f>
        <v>0</v>
      </c>
      <c r="N10" s="25" t="n">
        <f aca="false">L10*RISCO_PARAMETROS!$B$14</f>
        <v>0</v>
      </c>
      <c r="O10" s="25" t="n">
        <f aca="false">MAX(1,MIN(5,D10+H10+J10-M10))</f>
        <v>3</v>
      </c>
      <c r="P10" s="25" t="n">
        <f aca="false">MAX(1,MIN(5,E10+I10+K10-N10))</f>
        <v>4</v>
      </c>
      <c r="Q10" s="25" t="n">
        <f aca="false">O10*P10</f>
        <v>12</v>
      </c>
      <c r="R10" s="7" t="str">
        <f aca="false">IF(Q10&gt;=RISCO_PARAMETROS!$B$6,"Crítico",IF(Q10&gt;=RISCO_PARAMETROS!$B$7,"Alto",IF(Q10&gt;=RISCO_PARAMETROS!$B$8,"Moderado","Baixo")))</f>
        <v>Alto</v>
      </c>
      <c r="S10" s="25" t="n">
        <f aca="false">Q10-F10</f>
        <v>0</v>
      </c>
      <c r="T10" s="7" t="str">
        <f aca="false">IF(Q10&gt;RISCO_PARAMETROS!$B$9,"Sim","Não")</f>
        <v>Sim</v>
      </c>
    </row>
    <row r="11" customFormat="false" ht="23.85" hidden="false" customHeight="false" outlineLevel="0" collapsed="false">
      <c r="A11" s="7" t="str">
        <f aca="false">RISCO_MATRIZ_17!A10</f>
        <v>RM-06</v>
      </c>
      <c r="B11" s="7" t="str">
        <f aca="false">RISCO_MATRIZ_17!B10</f>
        <v>CGU · Perguntas</v>
      </c>
      <c r="C11" s="7" t="str">
        <f aca="false">RISCO_MATRIZ_17!C10</f>
        <v>Canal de Denúncia e Medidas Disciplinares</v>
      </c>
      <c r="D11" s="25" t="n">
        <f aca="false">RISCO_MATRIZ_17!G10</f>
        <v>4</v>
      </c>
      <c r="E11" s="25" t="n">
        <f aca="false">RISCO_MATRIZ_17!H10</f>
        <v>5</v>
      </c>
      <c r="F11" s="25" t="n">
        <f aca="false">D11*E11</f>
        <v>20</v>
      </c>
      <c r="G11" s="7" t="str">
        <f aca="false">IF(F11&gt;=RISCO_PARAMETROS!$B$6,"Crítico",IF(F11&gt;=RISCO_PARAMETROS!$B$7,"Alto",IF(F11&gt;=RISCO_PARAMETROS!$B$8,"Moderado","Baixo")))</f>
        <v>Crítico</v>
      </c>
      <c r="H11" s="25" t="n">
        <f aca="false">SUMPRODUCT(RISCO_ESTRESSE!$B$5:$B$9,RISCO_ESTRESSE!G$14:G$18)</f>
        <v>0</v>
      </c>
      <c r="I11" s="25" t="n">
        <f aca="false">SUMPRODUCT(RISCO_ESTRESSE!$B$5:$B$9,RISCO_ESTRESSE!G$23:G$27)</f>
        <v>0</v>
      </c>
      <c r="J11" s="26" t="n">
        <v>0</v>
      </c>
      <c r="K11" s="26" t="n">
        <v>0</v>
      </c>
      <c r="L11" s="27" t="n">
        <f aca="false">IFERROR(COUNTIFS(PMO_PLANO!$F$10:$F$44,A11,PMO_PLANO!$K$10:$K$44,"Concluída")/COUNTIFS(PMO_PLANO!$F$10:$F$44,A11,PMO_PLANO!$K$10:$K$44,"&lt;&gt;Cancelada"),0)</f>
        <v>0</v>
      </c>
      <c r="M11" s="25" t="n">
        <f aca="false">L11*RISCO_PARAMETROS!$B$13</f>
        <v>0</v>
      </c>
      <c r="N11" s="25" t="n">
        <f aca="false">L11*RISCO_PARAMETROS!$B$14</f>
        <v>0</v>
      </c>
      <c r="O11" s="25" t="n">
        <f aca="false">MAX(1,MIN(5,D11+H11+J11-M11))</f>
        <v>4</v>
      </c>
      <c r="P11" s="25" t="n">
        <f aca="false">MAX(1,MIN(5,E11+I11+K11-N11))</f>
        <v>5</v>
      </c>
      <c r="Q11" s="25" t="n">
        <f aca="false">O11*P11</f>
        <v>20</v>
      </c>
      <c r="R11" s="7" t="str">
        <f aca="false">IF(Q11&gt;=RISCO_PARAMETROS!$B$6,"Crítico",IF(Q11&gt;=RISCO_PARAMETROS!$B$7,"Alto",IF(Q11&gt;=RISCO_PARAMETROS!$B$8,"Moderado","Baixo")))</f>
        <v>Crítico</v>
      </c>
      <c r="S11" s="25" t="n">
        <f aca="false">Q11-F11</f>
        <v>0</v>
      </c>
      <c r="T11" s="7" t="str">
        <f aca="false">IF(Q11&gt;RISCO_PARAMETROS!$B$9,"Sim","Não")</f>
        <v>Sim</v>
      </c>
    </row>
    <row r="12" customFormat="false" ht="23.85" hidden="false" customHeight="false" outlineLevel="0" collapsed="false">
      <c r="A12" s="7" t="str">
        <f aca="false">RISCO_MATRIZ_17!A11</f>
        <v>RM-07</v>
      </c>
      <c r="B12" s="7" t="str">
        <f aca="false">RISCO_MATRIZ_17!B11</f>
        <v>CGU · Perguntas</v>
      </c>
      <c r="C12" s="7" t="str">
        <f aca="false">RISCO_MATRIZ_17!C11</f>
        <v>Transparência e Responsabilidade Socioambiental</v>
      </c>
      <c r="D12" s="25" t="n">
        <f aca="false">RISCO_MATRIZ_17!G11</f>
        <v>3</v>
      </c>
      <c r="E12" s="25" t="n">
        <f aca="false">RISCO_MATRIZ_17!H11</f>
        <v>4</v>
      </c>
      <c r="F12" s="25" t="n">
        <f aca="false">D12*E12</f>
        <v>12</v>
      </c>
      <c r="G12" s="7" t="str">
        <f aca="false">IF(F12&gt;=RISCO_PARAMETROS!$B$6,"Crítico",IF(F12&gt;=RISCO_PARAMETROS!$B$7,"Alto",IF(F12&gt;=RISCO_PARAMETROS!$B$8,"Moderado","Baixo")))</f>
        <v>Alto</v>
      </c>
      <c r="H12" s="25" t="n">
        <f aca="false">SUMPRODUCT(RISCO_ESTRESSE!$B$5:$B$9,RISCO_ESTRESSE!H$14:H$18)</f>
        <v>0</v>
      </c>
      <c r="I12" s="25" t="n">
        <f aca="false">SUMPRODUCT(RISCO_ESTRESSE!$B$5:$B$9,RISCO_ESTRESSE!H$23:H$27)</f>
        <v>0</v>
      </c>
      <c r="J12" s="26" t="n">
        <v>0</v>
      </c>
      <c r="K12" s="26" t="n">
        <v>0</v>
      </c>
      <c r="L12" s="27" t="n">
        <f aca="false">IFERROR(COUNTIFS(PMO_PLANO!$F$10:$F$44,A12,PMO_PLANO!$K$10:$K$44,"Concluída")/COUNTIFS(PMO_PLANO!$F$10:$F$44,A12,PMO_PLANO!$K$10:$K$44,"&lt;&gt;Cancelada"),0)</f>
        <v>0</v>
      </c>
      <c r="M12" s="25" t="n">
        <f aca="false">L12*RISCO_PARAMETROS!$B$13</f>
        <v>0</v>
      </c>
      <c r="N12" s="25" t="n">
        <f aca="false">L12*RISCO_PARAMETROS!$B$14</f>
        <v>0</v>
      </c>
      <c r="O12" s="25" t="n">
        <f aca="false">MAX(1,MIN(5,D12+H12+J12-M12))</f>
        <v>3</v>
      </c>
      <c r="P12" s="25" t="n">
        <f aca="false">MAX(1,MIN(5,E12+I12+K12-N12))</f>
        <v>4</v>
      </c>
      <c r="Q12" s="25" t="n">
        <f aca="false">O12*P12</f>
        <v>12</v>
      </c>
      <c r="R12" s="7" t="str">
        <f aca="false">IF(Q12&gt;=RISCO_PARAMETROS!$B$6,"Crítico",IF(Q12&gt;=RISCO_PARAMETROS!$B$7,"Alto",IF(Q12&gt;=RISCO_PARAMETROS!$B$8,"Moderado","Baixo")))</f>
        <v>Alto</v>
      </c>
      <c r="S12" s="25" t="n">
        <f aca="false">Q12-F12</f>
        <v>0</v>
      </c>
      <c r="T12" s="7" t="str">
        <f aca="false">IF(Q12&gt;RISCO_PARAMETROS!$B$9,"Sim","Não")</f>
        <v>Sim</v>
      </c>
    </row>
    <row r="13" customFormat="false" ht="23.85" hidden="false" customHeight="false" outlineLevel="0" collapsed="false">
      <c r="A13" s="7" t="str">
        <f aca="false">RISCO_MATRIZ_17!A12</f>
        <v>RM-08</v>
      </c>
      <c r="B13" s="7" t="str">
        <f aca="false">RISCO_MATRIZ_17!B12</f>
        <v>CGU · Perguntas</v>
      </c>
      <c r="C13" s="7" t="str">
        <f aca="false">RISCO_MATRIZ_17!C12</f>
        <v>Controles Contábeis, Financeiros e Auditoria</v>
      </c>
      <c r="D13" s="25" t="n">
        <f aca="false">RISCO_MATRIZ_17!G12</f>
        <v>3</v>
      </c>
      <c r="E13" s="25" t="n">
        <f aca="false">RISCO_MATRIZ_17!H12</f>
        <v>5</v>
      </c>
      <c r="F13" s="25" t="n">
        <f aca="false">D13*E13</f>
        <v>15</v>
      </c>
      <c r="G13" s="7" t="str">
        <f aca="false">IF(F13&gt;=RISCO_PARAMETROS!$B$6,"Crítico",IF(F13&gt;=RISCO_PARAMETROS!$B$7,"Alto",IF(F13&gt;=RISCO_PARAMETROS!$B$8,"Moderado","Baixo")))</f>
        <v>Alto</v>
      </c>
      <c r="H13" s="25" t="n">
        <f aca="false">SUMPRODUCT(RISCO_ESTRESSE!$B$5:$B$9,RISCO_ESTRESSE!I$14:I$18)</f>
        <v>0</v>
      </c>
      <c r="I13" s="25" t="n">
        <f aca="false">SUMPRODUCT(RISCO_ESTRESSE!$B$5:$B$9,RISCO_ESTRESSE!I$23:I$27)</f>
        <v>0</v>
      </c>
      <c r="J13" s="26" t="n">
        <v>0</v>
      </c>
      <c r="K13" s="26" t="n">
        <v>0</v>
      </c>
      <c r="L13" s="27" t="n">
        <f aca="false">IFERROR(COUNTIFS(PMO_PLANO!$F$10:$F$44,A13,PMO_PLANO!$K$10:$K$44,"Concluída")/COUNTIFS(PMO_PLANO!$F$10:$F$44,A13,PMO_PLANO!$K$10:$K$44,"&lt;&gt;Cancelada"),0)</f>
        <v>0</v>
      </c>
      <c r="M13" s="25" t="n">
        <f aca="false">L13*RISCO_PARAMETROS!$B$13</f>
        <v>0</v>
      </c>
      <c r="N13" s="25" t="n">
        <f aca="false">L13*RISCO_PARAMETROS!$B$14</f>
        <v>0</v>
      </c>
      <c r="O13" s="25" t="n">
        <f aca="false">MAX(1,MIN(5,D13+H13+J13-M13))</f>
        <v>3</v>
      </c>
      <c r="P13" s="25" t="n">
        <f aca="false">MAX(1,MIN(5,E13+I13+K13-N13))</f>
        <v>5</v>
      </c>
      <c r="Q13" s="25" t="n">
        <f aca="false">O13*P13</f>
        <v>15</v>
      </c>
      <c r="R13" s="7" t="str">
        <f aca="false">IF(Q13&gt;=RISCO_PARAMETROS!$B$6,"Crítico",IF(Q13&gt;=RISCO_PARAMETROS!$B$7,"Alto",IF(Q13&gt;=RISCO_PARAMETROS!$B$8,"Moderado","Baixo")))</f>
        <v>Alto</v>
      </c>
      <c r="S13" s="25" t="n">
        <f aca="false">Q13-F13</f>
        <v>0</v>
      </c>
      <c r="T13" s="7" t="str">
        <f aca="false">IF(Q13&gt;RISCO_PARAMETROS!$B$9,"Sim","Não")</f>
        <v>Sim</v>
      </c>
    </row>
    <row r="14" customFormat="false" ht="15" hidden="false" customHeight="false" outlineLevel="0" collapsed="false">
      <c r="A14" s="7" t="str">
        <f aca="false">RISCO_MATRIZ_17!A13</f>
        <v>RM-09</v>
      </c>
      <c r="B14" s="7" t="str">
        <f aca="false">RISCO_MATRIZ_17!B13</f>
        <v>CGU · Perguntas</v>
      </c>
      <c r="C14" s="7" t="str">
        <f aca="false">RISCO_MATRIZ_17!C13</f>
        <v>Diligência de Terceiros e M&amp;A</v>
      </c>
      <c r="D14" s="25" t="n">
        <f aca="false">RISCO_MATRIZ_17!G13</f>
        <v>4</v>
      </c>
      <c r="E14" s="25" t="n">
        <f aca="false">RISCO_MATRIZ_17!H13</f>
        <v>5</v>
      </c>
      <c r="F14" s="25" t="n">
        <f aca="false">D14*E14</f>
        <v>20</v>
      </c>
      <c r="G14" s="7" t="str">
        <f aca="false">IF(F14&gt;=RISCO_PARAMETROS!$B$6,"Crítico",IF(F14&gt;=RISCO_PARAMETROS!$B$7,"Alto",IF(F14&gt;=RISCO_PARAMETROS!$B$8,"Moderado","Baixo")))</f>
        <v>Crítico</v>
      </c>
      <c r="H14" s="25" t="n">
        <f aca="false">SUMPRODUCT(RISCO_ESTRESSE!$B$5:$B$9,RISCO_ESTRESSE!J$14:J$18)</f>
        <v>0</v>
      </c>
      <c r="I14" s="25" t="n">
        <f aca="false">SUMPRODUCT(RISCO_ESTRESSE!$B$5:$B$9,RISCO_ESTRESSE!J$23:J$27)</f>
        <v>0</v>
      </c>
      <c r="J14" s="26" t="n">
        <v>0</v>
      </c>
      <c r="K14" s="26" t="n">
        <v>0</v>
      </c>
      <c r="L14" s="27" t="n">
        <f aca="false">IFERROR(COUNTIFS(PMO_PLANO!$F$10:$F$44,A14,PMO_PLANO!$K$10:$K$44,"Concluída")/COUNTIFS(PMO_PLANO!$F$10:$F$44,A14,PMO_PLANO!$K$10:$K$44,"&lt;&gt;Cancelada"),0)</f>
        <v>0</v>
      </c>
      <c r="M14" s="25" t="n">
        <f aca="false">L14*RISCO_PARAMETROS!$B$13</f>
        <v>0</v>
      </c>
      <c r="N14" s="25" t="n">
        <f aca="false">L14*RISCO_PARAMETROS!$B$14</f>
        <v>0</v>
      </c>
      <c r="O14" s="25" t="n">
        <f aca="false">MAX(1,MIN(5,D14+H14+J14-M14))</f>
        <v>4</v>
      </c>
      <c r="P14" s="25" t="n">
        <f aca="false">MAX(1,MIN(5,E14+I14+K14-N14))</f>
        <v>5</v>
      </c>
      <c r="Q14" s="25" t="n">
        <f aca="false">O14*P14</f>
        <v>20</v>
      </c>
      <c r="R14" s="7" t="str">
        <f aca="false">IF(Q14&gt;=RISCO_PARAMETROS!$B$6,"Crítico",IF(Q14&gt;=RISCO_PARAMETROS!$B$7,"Alto",IF(Q14&gt;=RISCO_PARAMETROS!$B$8,"Moderado","Baixo")))</f>
        <v>Crítico</v>
      </c>
      <c r="S14" s="25" t="n">
        <f aca="false">Q14-F14</f>
        <v>0</v>
      </c>
      <c r="T14" s="7" t="str">
        <f aca="false">IF(Q14&gt;RISCO_PARAMETROS!$B$9,"Sim","Não")</f>
        <v>Sim</v>
      </c>
    </row>
    <row r="15" customFormat="false" ht="15" hidden="false" customHeight="false" outlineLevel="0" collapsed="false">
      <c r="A15" s="7" t="str">
        <f aca="false">RISCO_MATRIZ_17!A14</f>
        <v>RM-10</v>
      </c>
      <c r="B15" s="7" t="str">
        <f aca="false">RISCO_MATRIZ_17!B14</f>
        <v>CGU · Perguntas</v>
      </c>
      <c r="C15" s="7" t="str">
        <f aca="false">RISCO_MATRIZ_17!C14</f>
        <v>Monitoramento do Programa</v>
      </c>
      <c r="D15" s="25" t="n">
        <f aca="false">RISCO_MATRIZ_17!G14</f>
        <v>3</v>
      </c>
      <c r="E15" s="25" t="n">
        <f aca="false">RISCO_MATRIZ_17!H14</f>
        <v>3</v>
      </c>
      <c r="F15" s="25" t="n">
        <f aca="false">D15*E15</f>
        <v>9</v>
      </c>
      <c r="G15" s="7" t="str">
        <f aca="false">IF(F15&gt;=RISCO_PARAMETROS!$B$6,"Crítico",IF(F15&gt;=RISCO_PARAMETROS!$B$7,"Alto",IF(F15&gt;=RISCO_PARAMETROS!$B$8,"Moderado","Baixo")))</f>
        <v>Moderado</v>
      </c>
      <c r="H15" s="25" t="n">
        <f aca="false">SUMPRODUCT(RISCO_ESTRESSE!$B$5:$B$9,RISCO_ESTRESSE!K$14:K$18)</f>
        <v>0</v>
      </c>
      <c r="I15" s="25" t="n">
        <f aca="false">SUMPRODUCT(RISCO_ESTRESSE!$B$5:$B$9,RISCO_ESTRESSE!K$23:K$27)</f>
        <v>0</v>
      </c>
      <c r="J15" s="26" t="n">
        <v>0</v>
      </c>
      <c r="K15" s="26" t="n">
        <v>0</v>
      </c>
      <c r="L15" s="27" t="n">
        <f aca="false">IFERROR(COUNTIFS(PMO_PLANO!$F$10:$F$44,A15,PMO_PLANO!$K$10:$K$44,"Concluída")/COUNTIFS(PMO_PLANO!$F$10:$F$44,A15,PMO_PLANO!$K$10:$K$44,"&lt;&gt;Cancelada"),0)</f>
        <v>0</v>
      </c>
      <c r="M15" s="25" t="n">
        <f aca="false">L15*RISCO_PARAMETROS!$B$13</f>
        <v>0</v>
      </c>
      <c r="N15" s="25" t="n">
        <f aca="false">L15*RISCO_PARAMETROS!$B$14</f>
        <v>0</v>
      </c>
      <c r="O15" s="25" t="n">
        <f aca="false">MAX(1,MIN(5,D15+H15+J15-M15))</f>
        <v>3</v>
      </c>
      <c r="P15" s="25" t="n">
        <f aca="false">MAX(1,MIN(5,E15+I15+K15-N15))</f>
        <v>3</v>
      </c>
      <c r="Q15" s="25" t="n">
        <f aca="false">O15*P15</f>
        <v>9</v>
      </c>
      <c r="R15" s="7" t="str">
        <f aca="false">IF(Q15&gt;=RISCO_PARAMETROS!$B$6,"Crítico",IF(Q15&gt;=RISCO_PARAMETROS!$B$7,"Alto",IF(Q15&gt;=RISCO_PARAMETROS!$B$8,"Moderado","Baixo")))</f>
        <v>Moderado</v>
      </c>
      <c r="S15" s="25" t="n">
        <f aca="false">Q15-F15</f>
        <v>0</v>
      </c>
      <c r="T15" s="7" t="str">
        <f aca="false">IF(Q15&gt;RISCO_PARAMETROS!$B$9,"Sim","Não")</f>
        <v>Não</v>
      </c>
    </row>
    <row r="16" customFormat="false" ht="15" hidden="false" customHeight="false" outlineLevel="0" collapsed="false">
      <c r="A16" s="7" t="str">
        <f aca="false">RISCO_MATRIZ_17!A15</f>
        <v>RM-11</v>
      </c>
      <c r="B16" s="7" t="str">
        <f aca="false">RISCO_MATRIZ_17!B15</f>
        <v>ISO 37301/37001</v>
      </c>
      <c r="C16" s="7" t="str">
        <f aca="false">RISCO_MATRIZ_17!C15</f>
        <v>4 · Contexto da organização</v>
      </c>
      <c r="D16" s="25" t="n">
        <f aca="false">RISCO_MATRIZ_17!G15</f>
        <v>4</v>
      </c>
      <c r="E16" s="25" t="n">
        <f aca="false">RISCO_MATRIZ_17!H15</f>
        <v>3</v>
      </c>
      <c r="F16" s="25" t="n">
        <f aca="false">D16*E16</f>
        <v>12</v>
      </c>
      <c r="G16" s="7" t="str">
        <f aca="false">IF(F16&gt;=RISCO_PARAMETROS!$B$6,"Crítico",IF(F16&gt;=RISCO_PARAMETROS!$B$7,"Alto",IF(F16&gt;=RISCO_PARAMETROS!$B$8,"Moderado","Baixo")))</f>
        <v>Alto</v>
      </c>
      <c r="H16" s="25" t="n">
        <f aca="false">SUMPRODUCT(RISCO_ESTRESSE!$B$5:$B$9,RISCO_ESTRESSE!L$14:L$18)</f>
        <v>0</v>
      </c>
      <c r="I16" s="25" t="n">
        <f aca="false">SUMPRODUCT(RISCO_ESTRESSE!$B$5:$B$9,RISCO_ESTRESSE!L$23:L$27)</f>
        <v>0</v>
      </c>
      <c r="J16" s="26" t="n">
        <v>0</v>
      </c>
      <c r="K16" s="26" t="n">
        <v>0</v>
      </c>
      <c r="L16" s="27" t="n">
        <f aca="false">IFERROR(COUNTIFS(PMO_PLANO!$F$10:$F$44,A16,PMO_PLANO!$K$10:$K$44,"Concluída")/COUNTIFS(PMO_PLANO!$F$10:$F$44,A16,PMO_PLANO!$K$10:$K$44,"&lt;&gt;Cancelada"),0)</f>
        <v>0</v>
      </c>
      <c r="M16" s="25" t="n">
        <f aca="false">L16*RISCO_PARAMETROS!$B$13</f>
        <v>0</v>
      </c>
      <c r="N16" s="25" t="n">
        <f aca="false">L16*RISCO_PARAMETROS!$B$14</f>
        <v>0</v>
      </c>
      <c r="O16" s="25" t="n">
        <f aca="false">MAX(1,MIN(5,D16+H16+J16-M16))</f>
        <v>4</v>
      </c>
      <c r="P16" s="25" t="n">
        <f aca="false">MAX(1,MIN(5,E16+I16+K16-N16))</f>
        <v>3</v>
      </c>
      <c r="Q16" s="25" t="n">
        <f aca="false">O16*P16</f>
        <v>12</v>
      </c>
      <c r="R16" s="7" t="str">
        <f aca="false">IF(Q16&gt;=RISCO_PARAMETROS!$B$6,"Crítico",IF(Q16&gt;=RISCO_PARAMETROS!$B$7,"Alto",IF(Q16&gt;=RISCO_PARAMETROS!$B$8,"Moderado","Baixo")))</f>
        <v>Alto</v>
      </c>
      <c r="S16" s="25" t="n">
        <f aca="false">Q16-F16</f>
        <v>0</v>
      </c>
      <c r="T16" s="7" t="str">
        <f aca="false">IF(Q16&gt;RISCO_PARAMETROS!$B$9,"Sim","Não")</f>
        <v>Sim</v>
      </c>
    </row>
    <row r="17" customFormat="false" ht="15" hidden="false" customHeight="false" outlineLevel="0" collapsed="false">
      <c r="A17" s="7" t="str">
        <f aca="false">RISCO_MATRIZ_17!A16</f>
        <v>RM-12</v>
      </c>
      <c r="B17" s="7" t="str">
        <f aca="false">RISCO_MATRIZ_17!B16</f>
        <v>ISO 37301/37001</v>
      </c>
      <c r="C17" s="7" t="str">
        <f aca="false">RISCO_MATRIZ_17!C16</f>
        <v>5 · Liderança</v>
      </c>
      <c r="D17" s="25" t="n">
        <f aca="false">RISCO_MATRIZ_17!G16</f>
        <v>2</v>
      </c>
      <c r="E17" s="25" t="n">
        <f aca="false">RISCO_MATRIZ_17!H16</f>
        <v>5</v>
      </c>
      <c r="F17" s="25" t="n">
        <f aca="false">D17*E17</f>
        <v>10</v>
      </c>
      <c r="G17" s="7" t="str">
        <f aca="false">IF(F17&gt;=RISCO_PARAMETROS!$B$6,"Crítico",IF(F17&gt;=RISCO_PARAMETROS!$B$7,"Alto",IF(F17&gt;=RISCO_PARAMETROS!$B$8,"Moderado","Baixo")))</f>
        <v>Alto</v>
      </c>
      <c r="H17" s="25" t="n">
        <f aca="false">SUMPRODUCT(RISCO_ESTRESSE!$B$5:$B$9,RISCO_ESTRESSE!M$14:M$18)</f>
        <v>0</v>
      </c>
      <c r="I17" s="25" t="n">
        <f aca="false">SUMPRODUCT(RISCO_ESTRESSE!$B$5:$B$9,RISCO_ESTRESSE!M$23:M$27)</f>
        <v>0</v>
      </c>
      <c r="J17" s="26" t="n">
        <v>0</v>
      </c>
      <c r="K17" s="26" t="n">
        <v>0</v>
      </c>
      <c r="L17" s="27" t="n">
        <f aca="false">IFERROR(COUNTIFS(PMO_PLANO!$F$10:$F$44,A17,PMO_PLANO!$K$10:$K$44,"Concluída")/COUNTIFS(PMO_PLANO!$F$10:$F$44,A17,PMO_PLANO!$K$10:$K$44,"&lt;&gt;Cancelada"),0)</f>
        <v>0</v>
      </c>
      <c r="M17" s="25" t="n">
        <f aca="false">L17*RISCO_PARAMETROS!$B$13</f>
        <v>0</v>
      </c>
      <c r="N17" s="25" t="n">
        <f aca="false">L17*RISCO_PARAMETROS!$B$14</f>
        <v>0</v>
      </c>
      <c r="O17" s="25" t="n">
        <f aca="false">MAX(1,MIN(5,D17+H17+J17-M17))</f>
        <v>2</v>
      </c>
      <c r="P17" s="25" t="n">
        <f aca="false">MAX(1,MIN(5,E17+I17+K17-N17))</f>
        <v>5</v>
      </c>
      <c r="Q17" s="25" t="n">
        <f aca="false">O17*P17</f>
        <v>10</v>
      </c>
      <c r="R17" s="7" t="str">
        <f aca="false">IF(Q17&gt;=RISCO_PARAMETROS!$B$6,"Crítico",IF(Q17&gt;=RISCO_PARAMETROS!$B$7,"Alto",IF(Q17&gt;=RISCO_PARAMETROS!$B$8,"Moderado","Baixo")))</f>
        <v>Alto</v>
      </c>
      <c r="S17" s="25" t="n">
        <f aca="false">Q17-F17</f>
        <v>0</v>
      </c>
      <c r="T17" s="7" t="str">
        <f aca="false">IF(Q17&gt;RISCO_PARAMETROS!$B$9,"Sim","Não")</f>
        <v>Sim</v>
      </c>
    </row>
    <row r="18" customFormat="false" ht="15" hidden="false" customHeight="false" outlineLevel="0" collapsed="false">
      <c r="A18" s="7" t="str">
        <f aca="false">RISCO_MATRIZ_17!A17</f>
        <v>RM-13</v>
      </c>
      <c r="B18" s="7" t="str">
        <f aca="false">RISCO_MATRIZ_17!B17</f>
        <v>ISO 37301/37001</v>
      </c>
      <c r="C18" s="7" t="str">
        <f aca="false">RISCO_MATRIZ_17!C17</f>
        <v>6 · Planejamento</v>
      </c>
      <c r="D18" s="25" t="n">
        <f aca="false">RISCO_MATRIZ_17!G17</f>
        <v>3</v>
      </c>
      <c r="E18" s="25" t="n">
        <f aca="false">RISCO_MATRIZ_17!H17</f>
        <v>3</v>
      </c>
      <c r="F18" s="25" t="n">
        <f aca="false">D18*E18</f>
        <v>9</v>
      </c>
      <c r="G18" s="7" t="str">
        <f aca="false">IF(F18&gt;=RISCO_PARAMETROS!$B$6,"Crítico",IF(F18&gt;=RISCO_PARAMETROS!$B$7,"Alto",IF(F18&gt;=RISCO_PARAMETROS!$B$8,"Moderado","Baixo")))</f>
        <v>Moderado</v>
      </c>
      <c r="H18" s="25" t="n">
        <f aca="false">SUMPRODUCT(RISCO_ESTRESSE!$B$5:$B$9,RISCO_ESTRESSE!N$14:N$18)</f>
        <v>0</v>
      </c>
      <c r="I18" s="25" t="n">
        <f aca="false">SUMPRODUCT(RISCO_ESTRESSE!$B$5:$B$9,RISCO_ESTRESSE!N$23:N$27)</f>
        <v>0</v>
      </c>
      <c r="J18" s="26" t="n">
        <v>0</v>
      </c>
      <c r="K18" s="26" t="n">
        <v>0</v>
      </c>
      <c r="L18" s="27" t="n">
        <f aca="false">IFERROR(COUNTIFS(PMO_PLANO!$F$10:$F$44,A18,PMO_PLANO!$K$10:$K$44,"Concluída")/COUNTIFS(PMO_PLANO!$F$10:$F$44,A18,PMO_PLANO!$K$10:$K$44,"&lt;&gt;Cancelada"),0)</f>
        <v>0</v>
      </c>
      <c r="M18" s="25" t="n">
        <f aca="false">L18*RISCO_PARAMETROS!$B$13</f>
        <v>0</v>
      </c>
      <c r="N18" s="25" t="n">
        <f aca="false">L18*RISCO_PARAMETROS!$B$14</f>
        <v>0</v>
      </c>
      <c r="O18" s="25" t="n">
        <f aca="false">MAX(1,MIN(5,D18+H18+J18-M18))</f>
        <v>3</v>
      </c>
      <c r="P18" s="25" t="n">
        <f aca="false">MAX(1,MIN(5,E18+I18+K18-N18))</f>
        <v>3</v>
      </c>
      <c r="Q18" s="25" t="n">
        <f aca="false">O18*P18</f>
        <v>9</v>
      </c>
      <c r="R18" s="7" t="str">
        <f aca="false">IF(Q18&gt;=RISCO_PARAMETROS!$B$6,"Crítico",IF(Q18&gt;=RISCO_PARAMETROS!$B$7,"Alto",IF(Q18&gt;=RISCO_PARAMETROS!$B$8,"Moderado","Baixo")))</f>
        <v>Moderado</v>
      </c>
      <c r="S18" s="25" t="n">
        <f aca="false">Q18-F18</f>
        <v>0</v>
      </c>
      <c r="T18" s="7" t="str">
        <f aca="false">IF(Q18&gt;RISCO_PARAMETROS!$B$9,"Sim","Não")</f>
        <v>Não</v>
      </c>
    </row>
    <row r="19" customFormat="false" ht="15" hidden="false" customHeight="false" outlineLevel="0" collapsed="false">
      <c r="A19" s="7" t="str">
        <f aca="false">RISCO_MATRIZ_17!A18</f>
        <v>RM-14</v>
      </c>
      <c r="B19" s="7" t="str">
        <f aca="false">RISCO_MATRIZ_17!B18</f>
        <v>ISO 37301/37001</v>
      </c>
      <c r="C19" s="7" t="str">
        <f aca="false">RISCO_MATRIZ_17!C18</f>
        <v>7 · Suporte</v>
      </c>
      <c r="D19" s="25" t="n">
        <f aca="false">RISCO_MATRIZ_17!G18</f>
        <v>3</v>
      </c>
      <c r="E19" s="25" t="n">
        <f aca="false">RISCO_MATRIZ_17!H18</f>
        <v>3</v>
      </c>
      <c r="F19" s="25" t="n">
        <f aca="false">D19*E19</f>
        <v>9</v>
      </c>
      <c r="G19" s="7" t="str">
        <f aca="false">IF(F19&gt;=RISCO_PARAMETROS!$B$6,"Crítico",IF(F19&gt;=RISCO_PARAMETROS!$B$7,"Alto",IF(F19&gt;=RISCO_PARAMETROS!$B$8,"Moderado","Baixo")))</f>
        <v>Moderado</v>
      </c>
      <c r="H19" s="25" t="n">
        <f aca="false">SUMPRODUCT(RISCO_ESTRESSE!$B$5:$B$9,RISCO_ESTRESSE!O$14:O$18)</f>
        <v>0</v>
      </c>
      <c r="I19" s="25" t="n">
        <f aca="false">SUMPRODUCT(RISCO_ESTRESSE!$B$5:$B$9,RISCO_ESTRESSE!O$23:O$27)</f>
        <v>0</v>
      </c>
      <c r="J19" s="26" t="n">
        <v>0</v>
      </c>
      <c r="K19" s="26" t="n">
        <v>0</v>
      </c>
      <c r="L19" s="27" t="n">
        <f aca="false">IFERROR(COUNTIFS(PMO_PLANO!$F$10:$F$44,A19,PMO_PLANO!$K$10:$K$44,"Concluída")/COUNTIFS(PMO_PLANO!$F$10:$F$44,A19,PMO_PLANO!$K$10:$K$44,"&lt;&gt;Cancelada"),0)</f>
        <v>0</v>
      </c>
      <c r="M19" s="25" t="n">
        <f aca="false">L19*RISCO_PARAMETROS!$B$13</f>
        <v>0</v>
      </c>
      <c r="N19" s="25" t="n">
        <f aca="false">L19*RISCO_PARAMETROS!$B$14</f>
        <v>0</v>
      </c>
      <c r="O19" s="25" t="n">
        <f aca="false">MAX(1,MIN(5,D19+H19+J19-M19))</f>
        <v>3</v>
      </c>
      <c r="P19" s="25" t="n">
        <f aca="false">MAX(1,MIN(5,E19+I19+K19-N19))</f>
        <v>3</v>
      </c>
      <c r="Q19" s="25" t="n">
        <f aca="false">O19*P19</f>
        <v>9</v>
      </c>
      <c r="R19" s="7" t="str">
        <f aca="false">IF(Q19&gt;=RISCO_PARAMETROS!$B$6,"Crítico",IF(Q19&gt;=RISCO_PARAMETROS!$B$7,"Alto",IF(Q19&gt;=RISCO_PARAMETROS!$B$8,"Moderado","Baixo")))</f>
        <v>Moderado</v>
      </c>
      <c r="S19" s="25" t="n">
        <f aca="false">Q19-F19</f>
        <v>0</v>
      </c>
      <c r="T19" s="7" t="str">
        <f aca="false">IF(Q19&gt;RISCO_PARAMETROS!$B$9,"Sim","Não")</f>
        <v>Não</v>
      </c>
    </row>
    <row r="20" customFormat="false" ht="15" hidden="false" customHeight="false" outlineLevel="0" collapsed="false">
      <c r="A20" s="7" t="str">
        <f aca="false">RISCO_MATRIZ_17!A19</f>
        <v>RM-15</v>
      </c>
      <c r="B20" s="7" t="str">
        <f aca="false">RISCO_MATRIZ_17!B19</f>
        <v>ISO 37301/37001</v>
      </c>
      <c r="C20" s="7" t="str">
        <f aca="false">RISCO_MATRIZ_17!C19</f>
        <v>8 · Operação</v>
      </c>
      <c r="D20" s="25" t="n">
        <f aca="false">RISCO_MATRIZ_17!G19</f>
        <v>2</v>
      </c>
      <c r="E20" s="25" t="n">
        <f aca="false">RISCO_MATRIZ_17!H19</f>
        <v>4</v>
      </c>
      <c r="F20" s="25" t="n">
        <f aca="false">D20*E20</f>
        <v>8</v>
      </c>
      <c r="G20" s="7" t="str">
        <f aca="false">IF(F20&gt;=RISCO_PARAMETROS!$B$6,"Crítico",IF(F20&gt;=RISCO_PARAMETROS!$B$7,"Alto",IF(F20&gt;=RISCO_PARAMETROS!$B$8,"Moderado","Baixo")))</f>
        <v>Moderado</v>
      </c>
      <c r="H20" s="25" t="n">
        <f aca="false">SUMPRODUCT(RISCO_ESTRESSE!$B$5:$B$9,RISCO_ESTRESSE!P$14:P$18)</f>
        <v>0</v>
      </c>
      <c r="I20" s="25" t="n">
        <f aca="false">SUMPRODUCT(RISCO_ESTRESSE!$B$5:$B$9,RISCO_ESTRESSE!P$23:P$27)</f>
        <v>0</v>
      </c>
      <c r="J20" s="26" t="n">
        <v>0</v>
      </c>
      <c r="K20" s="26" t="n">
        <v>0</v>
      </c>
      <c r="L20" s="27" t="n">
        <f aca="false">IFERROR(COUNTIFS(PMO_PLANO!$F$10:$F$44,A20,PMO_PLANO!$K$10:$K$44,"Concluída")/COUNTIFS(PMO_PLANO!$F$10:$F$44,A20,PMO_PLANO!$K$10:$K$44,"&lt;&gt;Cancelada"),0)</f>
        <v>0</v>
      </c>
      <c r="M20" s="25" t="n">
        <f aca="false">L20*RISCO_PARAMETROS!$B$13</f>
        <v>0</v>
      </c>
      <c r="N20" s="25" t="n">
        <f aca="false">L20*RISCO_PARAMETROS!$B$14</f>
        <v>0</v>
      </c>
      <c r="O20" s="25" t="n">
        <f aca="false">MAX(1,MIN(5,D20+H20+J20-M20))</f>
        <v>2</v>
      </c>
      <c r="P20" s="25" t="n">
        <f aca="false">MAX(1,MIN(5,E20+I20+K20-N20))</f>
        <v>4</v>
      </c>
      <c r="Q20" s="25" t="n">
        <f aca="false">O20*P20</f>
        <v>8</v>
      </c>
      <c r="R20" s="7" t="str">
        <f aca="false">IF(Q20&gt;=RISCO_PARAMETROS!$B$6,"Crítico",IF(Q20&gt;=RISCO_PARAMETROS!$B$7,"Alto",IF(Q20&gt;=RISCO_PARAMETROS!$B$8,"Moderado","Baixo")))</f>
        <v>Moderado</v>
      </c>
      <c r="S20" s="25" t="n">
        <f aca="false">Q20-F20</f>
        <v>0</v>
      </c>
      <c r="T20" s="7" t="str">
        <f aca="false">IF(Q20&gt;RISCO_PARAMETROS!$B$9,"Sim","Não")</f>
        <v>Não</v>
      </c>
    </row>
    <row r="21" customFormat="false" ht="15" hidden="false" customHeight="false" outlineLevel="0" collapsed="false">
      <c r="A21" s="7" t="str">
        <f aca="false">RISCO_MATRIZ_17!A20</f>
        <v>RM-16</v>
      </c>
      <c r="B21" s="7" t="str">
        <f aca="false">RISCO_MATRIZ_17!B20</f>
        <v>ISO 37301/37001</v>
      </c>
      <c r="C21" s="7" t="str">
        <f aca="false">RISCO_MATRIZ_17!C20</f>
        <v>9 · Avaliação de desempenho</v>
      </c>
      <c r="D21" s="25" t="n">
        <f aca="false">RISCO_MATRIZ_17!G20</f>
        <v>3</v>
      </c>
      <c r="E21" s="25" t="n">
        <f aca="false">RISCO_MATRIZ_17!H20</f>
        <v>4</v>
      </c>
      <c r="F21" s="25" t="n">
        <f aca="false">D21*E21</f>
        <v>12</v>
      </c>
      <c r="G21" s="7" t="str">
        <f aca="false">IF(F21&gt;=RISCO_PARAMETROS!$B$6,"Crítico",IF(F21&gt;=RISCO_PARAMETROS!$B$7,"Alto",IF(F21&gt;=RISCO_PARAMETROS!$B$8,"Moderado","Baixo")))</f>
        <v>Alto</v>
      </c>
      <c r="H21" s="25" t="n">
        <f aca="false">SUMPRODUCT(RISCO_ESTRESSE!$B$5:$B$9,RISCO_ESTRESSE!Q$14:Q$18)</f>
        <v>0</v>
      </c>
      <c r="I21" s="25" t="n">
        <f aca="false">SUMPRODUCT(RISCO_ESTRESSE!$B$5:$B$9,RISCO_ESTRESSE!Q$23:Q$27)</f>
        <v>0</v>
      </c>
      <c r="J21" s="26" t="n">
        <v>0</v>
      </c>
      <c r="K21" s="26" t="n">
        <v>0</v>
      </c>
      <c r="L21" s="27" t="n">
        <f aca="false">IFERROR(COUNTIFS(PMO_PLANO!$F$10:$F$44,A21,PMO_PLANO!$K$10:$K$44,"Concluída")/COUNTIFS(PMO_PLANO!$F$10:$F$44,A21,PMO_PLANO!$K$10:$K$44,"&lt;&gt;Cancelada"),0)</f>
        <v>0</v>
      </c>
      <c r="M21" s="25" t="n">
        <f aca="false">L21*RISCO_PARAMETROS!$B$13</f>
        <v>0</v>
      </c>
      <c r="N21" s="25" t="n">
        <f aca="false">L21*RISCO_PARAMETROS!$B$14</f>
        <v>0</v>
      </c>
      <c r="O21" s="25" t="n">
        <f aca="false">MAX(1,MIN(5,D21+H21+J21-M21))</f>
        <v>3</v>
      </c>
      <c r="P21" s="25" t="n">
        <f aca="false">MAX(1,MIN(5,E21+I21+K21-N21))</f>
        <v>4</v>
      </c>
      <c r="Q21" s="25" t="n">
        <f aca="false">O21*P21</f>
        <v>12</v>
      </c>
      <c r="R21" s="7" t="str">
        <f aca="false">IF(Q21&gt;=RISCO_PARAMETROS!$B$6,"Crítico",IF(Q21&gt;=RISCO_PARAMETROS!$B$7,"Alto",IF(Q21&gt;=RISCO_PARAMETROS!$B$8,"Moderado","Baixo")))</f>
        <v>Alto</v>
      </c>
      <c r="S21" s="25" t="n">
        <f aca="false">Q21-F21</f>
        <v>0</v>
      </c>
      <c r="T21" s="7" t="str">
        <f aca="false">IF(Q21&gt;RISCO_PARAMETROS!$B$9,"Sim","Não")</f>
        <v>Sim</v>
      </c>
    </row>
    <row r="22" customFormat="false" ht="15" hidden="false" customHeight="false" outlineLevel="0" collapsed="false">
      <c r="A22" s="7" t="str">
        <f aca="false">RISCO_MATRIZ_17!A21</f>
        <v>RM-17</v>
      </c>
      <c r="B22" s="7" t="str">
        <f aca="false">RISCO_MATRIZ_17!B21</f>
        <v>ISO 37301/37001</v>
      </c>
      <c r="C22" s="7" t="str">
        <f aca="false">RISCO_MATRIZ_17!C21</f>
        <v>10 · Melhoria</v>
      </c>
      <c r="D22" s="25" t="n">
        <f aca="false">RISCO_MATRIZ_17!G21</f>
        <v>3</v>
      </c>
      <c r="E22" s="25" t="n">
        <f aca="false">RISCO_MATRIZ_17!H21</f>
        <v>3</v>
      </c>
      <c r="F22" s="25" t="n">
        <f aca="false">D22*E22</f>
        <v>9</v>
      </c>
      <c r="G22" s="7" t="str">
        <f aca="false">IF(F22&gt;=RISCO_PARAMETROS!$B$6,"Crítico",IF(F22&gt;=RISCO_PARAMETROS!$B$7,"Alto",IF(F22&gt;=RISCO_PARAMETROS!$B$8,"Moderado","Baixo")))</f>
        <v>Moderado</v>
      </c>
      <c r="H22" s="25" t="n">
        <f aca="false">SUMPRODUCT(RISCO_ESTRESSE!$B$5:$B$9,RISCO_ESTRESSE!R$14:R$18)</f>
        <v>0</v>
      </c>
      <c r="I22" s="25" t="n">
        <f aca="false">SUMPRODUCT(RISCO_ESTRESSE!$B$5:$B$9,RISCO_ESTRESSE!R$23:R$27)</f>
        <v>0</v>
      </c>
      <c r="J22" s="26" t="n">
        <v>0</v>
      </c>
      <c r="K22" s="26" t="n">
        <v>0</v>
      </c>
      <c r="L22" s="27" t="n">
        <f aca="false">IFERROR(COUNTIFS(PMO_PLANO!$F$10:$F$44,A22,PMO_PLANO!$K$10:$K$44,"Concluída")/COUNTIFS(PMO_PLANO!$F$10:$F$44,A22,PMO_PLANO!$K$10:$K$44,"&lt;&gt;Cancelada"),0)</f>
        <v>0</v>
      </c>
      <c r="M22" s="25" t="n">
        <f aca="false">L22*RISCO_PARAMETROS!$B$13</f>
        <v>0</v>
      </c>
      <c r="N22" s="25" t="n">
        <f aca="false">L22*RISCO_PARAMETROS!$B$14</f>
        <v>0</v>
      </c>
      <c r="O22" s="25" t="n">
        <f aca="false">MAX(1,MIN(5,D22+H22+J22-M22))</f>
        <v>3</v>
      </c>
      <c r="P22" s="25" t="n">
        <f aca="false">MAX(1,MIN(5,E22+I22+K22-N22))</f>
        <v>3</v>
      </c>
      <c r="Q22" s="25" t="n">
        <f aca="false">O22*P22</f>
        <v>9</v>
      </c>
      <c r="R22" s="7" t="str">
        <f aca="false">IF(Q22&gt;=RISCO_PARAMETROS!$B$6,"Crítico",IF(Q22&gt;=RISCO_PARAMETROS!$B$7,"Alto",IF(Q22&gt;=RISCO_PARAMETROS!$B$8,"Moderado","Baixo")))</f>
        <v>Moderado</v>
      </c>
      <c r="S22" s="25" t="n">
        <f aca="false">Q22-F22</f>
        <v>0</v>
      </c>
      <c r="T22" s="7" t="str">
        <f aca="false">IF(Q22&gt;RISCO_PARAMETROS!$B$9,"Sim","Não")</f>
        <v>Não</v>
      </c>
    </row>
    <row r="23" customFormat="false" ht="15" hidden="false" customHeight="false" outlineLevel="0" collapsed="false">
      <c r="C23" s="11" t="s">
        <v>3459</v>
      </c>
      <c r="F23" s="28" t="n">
        <f aca="false">SUM(F6:F22)</f>
        <v>224</v>
      </c>
      <c r="Q23" s="28" t="n">
        <f aca="false">SUM(Q6:Q22)</f>
        <v>224</v>
      </c>
      <c r="S23" s="28" t="n">
        <f aca="false">Q23-F23</f>
        <v>0</v>
      </c>
      <c r="T23" s="11" t="n">
        <f aca="false">COUNTIF(T6:T22,"Sim")</f>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432E"/>
    <pageSetUpPr fitToPage="false"/>
  </sheetPr>
  <dimension ref="A1:N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0" width="9"/>
  </cols>
  <sheetData>
    <row r="1" customFormat="false" ht="17.35" hidden="false" customHeight="false" outlineLevel="0" collapsed="false">
      <c r="A1" s="1" t="s">
        <v>3460</v>
      </c>
    </row>
    <row r="2" customFormat="false" ht="15" hidden="false" customHeight="false" outlineLevel="0" collapsed="false">
      <c r="A2" s="2" t="s">
        <v>3461</v>
      </c>
    </row>
    <row r="4" customFormat="false" ht="15" hidden="false" customHeight="false" outlineLevel="0" collapsed="false">
      <c r="A4" s="11" t="s">
        <v>3462</v>
      </c>
      <c r="I4" s="11" t="s">
        <v>3463</v>
      </c>
    </row>
    <row r="5" customFormat="false" ht="15" hidden="false" customHeight="false" outlineLevel="0" collapsed="false">
      <c r="A5" s="20" t="s">
        <v>3464</v>
      </c>
      <c r="B5" s="23" t="n">
        <v>1</v>
      </c>
      <c r="C5" s="23" t="n">
        <v>2</v>
      </c>
      <c r="D5" s="23" t="n">
        <v>3</v>
      </c>
      <c r="E5" s="23" t="n">
        <v>4</v>
      </c>
      <c r="F5" s="23" t="n">
        <v>5</v>
      </c>
      <c r="I5" s="20" t="s">
        <v>3464</v>
      </c>
      <c r="J5" s="23" t="n">
        <v>1</v>
      </c>
      <c r="K5" s="23" t="n">
        <v>2</v>
      </c>
      <c r="L5" s="23" t="n">
        <v>3</v>
      </c>
      <c r="M5" s="23" t="n">
        <v>4</v>
      </c>
      <c r="N5" s="23" t="n">
        <v>5</v>
      </c>
    </row>
    <row r="6" customFormat="false" ht="15" hidden="false" customHeight="false" outlineLevel="0" collapsed="false">
      <c r="A6" s="23" t="n">
        <v>5</v>
      </c>
      <c r="B6" s="29" t="n">
        <f aca="false">SUMPRODUCT((ROUND(RISCO_MATRIZ_17!$G$5:$G$21,0)=5)*(ROUND(RISCO_MATRIZ_17!$H$5:$H$21,0)=1))</f>
        <v>0</v>
      </c>
      <c r="C6" s="30" t="n">
        <f aca="false">SUMPRODUCT((ROUND(RISCO_MATRIZ_17!$G$5:$G$21,0)=5)*(ROUND(RISCO_MATRIZ_17!$H$5:$H$21,0)=2))</f>
        <v>0</v>
      </c>
      <c r="D6" s="30" t="n">
        <f aca="false">SUMPRODUCT((ROUND(RISCO_MATRIZ_17!$G$5:$G$21,0)=5)*(ROUND(RISCO_MATRIZ_17!$H$5:$H$21,0)=3))</f>
        <v>0</v>
      </c>
      <c r="E6" s="31" t="n">
        <f aca="false">SUMPRODUCT((ROUND(RISCO_MATRIZ_17!$G$5:$G$21,0)=5)*(ROUND(RISCO_MATRIZ_17!$H$5:$H$21,0)=4))</f>
        <v>0</v>
      </c>
      <c r="F6" s="31" t="n">
        <f aca="false">SUMPRODUCT((ROUND(RISCO_MATRIZ_17!$G$5:$G$21,0)=5)*(ROUND(RISCO_MATRIZ_17!$H$5:$H$21,0)=5))</f>
        <v>0</v>
      </c>
      <c r="I6" s="23" t="n">
        <v>5</v>
      </c>
      <c r="J6" s="29" t="n">
        <f aca="false">SUMPRODUCT((ROUND(RISCO_SIMULADOR!$O$6:$O$22,0)=5)*(ROUND(RISCO_SIMULADOR!$P$6:$P$22,0)=1))</f>
        <v>0</v>
      </c>
      <c r="K6" s="30" t="n">
        <f aca="false">SUMPRODUCT((ROUND(RISCO_SIMULADOR!$O$6:$O$22,0)=5)*(ROUND(RISCO_SIMULADOR!$P$6:$P$22,0)=2))</f>
        <v>0</v>
      </c>
      <c r="L6" s="30" t="n">
        <f aca="false">SUMPRODUCT((ROUND(RISCO_SIMULADOR!$O$6:$O$22,0)=5)*(ROUND(RISCO_SIMULADOR!$P$6:$P$22,0)=3))</f>
        <v>0</v>
      </c>
      <c r="M6" s="31" t="n">
        <f aca="false">SUMPRODUCT((ROUND(RISCO_SIMULADOR!$O$6:$O$22,0)=5)*(ROUND(RISCO_SIMULADOR!$P$6:$P$22,0)=4))</f>
        <v>0</v>
      </c>
      <c r="N6" s="31" t="n">
        <f aca="false">SUMPRODUCT((ROUND(RISCO_SIMULADOR!$O$6:$O$22,0)=5)*(ROUND(RISCO_SIMULADOR!$P$6:$P$22,0)=5))</f>
        <v>0</v>
      </c>
    </row>
    <row r="7" customFormat="false" ht="15" hidden="false" customHeight="false" outlineLevel="0" collapsed="false">
      <c r="A7" s="23" t="n">
        <v>4</v>
      </c>
      <c r="B7" s="32" t="n">
        <f aca="false">SUMPRODUCT((ROUND(RISCO_MATRIZ_17!$G$5:$G$21,0)=4)*(ROUND(RISCO_MATRIZ_17!$H$5:$H$21,0)=1))</f>
        <v>0</v>
      </c>
      <c r="C7" s="29" t="n">
        <f aca="false">SUMPRODUCT((ROUND(RISCO_MATRIZ_17!$G$5:$G$21,0)=4)*(ROUND(RISCO_MATRIZ_17!$H$5:$H$21,0)=2))</f>
        <v>0</v>
      </c>
      <c r="D7" s="30" t="n">
        <f aca="false">SUMPRODUCT((ROUND(RISCO_MATRIZ_17!$G$5:$G$21,0)=4)*(ROUND(RISCO_MATRIZ_17!$H$5:$H$21,0)=3))</f>
        <v>1</v>
      </c>
      <c r="E7" s="30" t="n">
        <f aca="false">SUMPRODUCT((ROUND(RISCO_MATRIZ_17!$G$5:$G$21,0)=4)*(ROUND(RISCO_MATRIZ_17!$H$5:$H$21,0)=4))</f>
        <v>2</v>
      </c>
      <c r="F7" s="31" t="n">
        <f aca="false">SUMPRODUCT((ROUND(RISCO_MATRIZ_17!$G$5:$G$21,0)=4)*(ROUND(RISCO_MATRIZ_17!$H$5:$H$21,0)=5))</f>
        <v>3</v>
      </c>
      <c r="I7" s="23" t="n">
        <v>4</v>
      </c>
      <c r="J7" s="32" t="n">
        <f aca="false">SUMPRODUCT((ROUND(RISCO_SIMULADOR!$O$6:$O$22,0)=4)*(ROUND(RISCO_SIMULADOR!$P$6:$P$22,0)=1))</f>
        <v>0</v>
      </c>
      <c r="K7" s="29" t="n">
        <f aca="false">SUMPRODUCT((ROUND(RISCO_SIMULADOR!$O$6:$O$22,0)=4)*(ROUND(RISCO_SIMULADOR!$P$6:$P$22,0)=2))</f>
        <v>0</v>
      </c>
      <c r="L7" s="30" t="n">
        <f aca="false">SUMPRODUCT((ROUND(RISCO_SIMULADOR!$O$6:$O$22,0)=4)*(ROUND(RISCO_SIMULADOR!$P$6:$P$22,0)=3))</f>
        <v>1</v>
      </c>
      <c r="M7" s="30" t="n">
        <f aca="false">SUMPRODUCT((ROUND(RISCO_SIMULADOR!$O$6:$O$22,0)=4)*(ROUND(RISCO_SIMULADOR!$P$6:$P$22,0)=4))</f>
        <v>2</v>
      </c>
      <c r="N7" s="31" t="n">
        <f aca="false">SUMPRODUCT((ROUND(RISCO_SIMULADOR!$O$6:$O$22,0)=4)*(ROUND(RISCO_SIMULADOR!$P$6:$P$22,0)=5))</f>
        <v>3</v>
      </c>
    </row>
    <row r="8" customFormat="false" ht="15" hidden="false" customHeight="false" outlineLevel="0" collapsed="false">
      <c r="A8" s="23" t="n">
        <v>3</v>
      </c>
      <c r="B8" s="32" t="n">
        <f aca="false">SUMPRODUCT((ROUND(RISCO_MATRIZ_17!$G$5:$G$21,0)=3)*(ROUND(RISCO_MATRIZ_17!$H$5:$H$21,0)=1))</f>
        <v>0</v>
      </c>
      <c r="C8" s="29" t="n">
        <f aca="false">SUMPRODUCT((ROUND(RISCO_MATRIZ_17!$G$5:$G$21,0)=3)*(ROUND(RISCO_MATRIZ_17!$H$5:$H$21,0)=2))</f>
        <v>0</v>
      </c>
      <c r="D8" s="29" t="n">
        <f aca="false">SUMPRODUCT((ROUND(RISCO_MATRIZ_17!$G$5:$G$21,0)=3)*(ROUND(RISCO_MATRIZ_17!$H$5:$H$21,0)=3))</f>
        <v>4</v>
      </c>
      <c r="E8" s="30" t="n">
        <f aca="false">SUMPRODUCT((ROUND(RISCO_MATRIZ_17!$G$5:$G$21,0)=3)*(ROUND(RISCO_MATRIZ_17!$H$5:$H$21,0)=4))</f>
        <v>3</v>
      </c>
      <c r="F8" s="30" t="n">
        <f aca="false">SUMPRODUCT((ROUND(RISCO_MATRIZ_17!$G$5:$G$21,0)=3)*(ROUND(RISCO_MATRIZ_17!$H$5:$H$21,0)=5))</f>
        <v>2</v>
      </c>
      <c r="I8" s="23" t="n">
        <v>3</v>
      </c>
      <c r="J8" s="32" t="n">
        <f aca="false">SUMPRODUCT((ROUND(RISCO_SIMULADOR!$O$6:$O$22,0)=3)*(ROUND(RISCO_SIMULADOR!$P$6:$P$22,0)=1))</f>
        <v>0</v>
      </c>
      <c r="K8" s="29" t="n">
        <f aca="false">SUMPRODUCT((ROUND(RISCO_SIMULADOR!$O$6:$O$22,0)=3)*(ROUND(RISCO_SIMULADOR!$P$6:$P$22,0)=2))</f>
        <v>0</v>
      </c>
      <c r="L8" s="29" t="n">
        <f aca="false">SUMPRODUCT((ROUND(RISCO_SIMULADOR!$O$6:$O$22,0)=3)*(ROUND(RISCO_SIMULADOR!$P$6:$P$22,0)=3))</f>
        <v>4</v>
      </c>
      <c r="M8" s="30" t="n">
        <f aca="false">SUMPRODUCT((ROUND(RISCO_SIMULADOR!$O$6:$O$22,0)=3)*(ROUND(RISCO_SIMULADOR!$P$6:$P$22,0)=4))</f>
        <v>3</v>
      </c>
      <c r="N8" s="30" t="n">
        <f aca="false">SUMPRODUCT((ROUND(RISCO_SIMULADOR!$O$6:$O$22,0)=3)*(ROUND(RISCO_SIMULADOR!$P$6:$P$22,0)=5))</f>
        <v>2</v>
      </c>
    </row>
    <row r="9" customFormat="false" ht="15" hidden="false" customHeight="false" outlineLevel="0" collapsed="false">
      <c r="A9" s="23" t="n">
        <v>2</v>
      </c>
      <c r="B9" s="32" t="n">
        <f aca="false">SUMPRODUCT((ROUND(RISCO_MATRIZ_17!$G$5:$G$21,0)=2)*(ROUND(RISCO_MATRIZ_17!$H$5:$H$21,0)=1))</f>
        <v>0</v>
      </c>
      <c r="C9" s="32" t="n">
        <f aca="false">SUMPRODUCT((ROUND(RISCO_MATRIZ_17!$G$5:$G$21,0)=2)*(ROUND(RISCO_MATRIZ_17!$H$5:$H$21,0)=2))</f>
        <v>0</v>
      </c>
      <c r="D9" s="29" t="n">
        <f aca="false">SUMPRODUCT((ROUND(RISCO_MATRIZ_17!$G$5:$G$21,0)=2)*(ROUND(RISCO_MATRIZ_17!$H$5:$H$21,0)=3))</f>
        <v>0</v>
      </c>
      <c r="E9" s="29" t="n">
        <f aca="false">SUMPRODUCT((ROUND(RISCO_MATRIZ_17!$G$5:$G$21,0)=2)*(ROUND(RISCO_MATRIZ_17!$H$5:$H$21,0)=4))</f>
        <v>1</v>
      </c>
      <c r="F9" s="30" t="n">
        <f aca="false">SUMPRODUCT((ROUND(RISCO_MATRIZ_17!$G$5:$G$21,0)=2)*(ROUND(RISCO_MATRIZ_17!$H$5:$H$21,0)=5))</f>
        <v>1</v>
      </c>
      <c r="I9" s="23" t="n">
        <v>2</v>
      </c>
      <c r="J9" s="32" t="n">
        <f aca="false">SUMPRODUCT((ROUND(RISCO_SIMULADOR!$O$6:$O$22,0)=2)*(ROUND(RISCO_SIMULADOR!$P$6:$P$22,0)=1))</f>
        <v>0</v>
      </c>
      <c r="K9" s="32" t="n">
        <f aca="false">SUMPRODUCT((ROUND(RISCO_SIMULADOR!$O$6:$O$22,0)=2)*(ROUND(RISCO_SIMULADOR!$P$6:$P$22,0)=2))</f>
        <v>0</v>
      </c>
      <c r="L9" s="29" t="n">
        <f aca="false">SUMPRODUCT((ROUND(RISCO_SIMULADOR!$O$6:$O$22,0)=2)*(ROUND(RISCO_SIMULADOR!$P$6:$P$22,0)=3))</f>
        <v>0</v>
      </c>
      <c r="M9" s="29" t="n">
        <f aca="false">SUMPRODUCT((ROUND(RISCO_SIMULADOR!$O$6:$O$22,0)=2)*(ROUND(RISCO_SIMULADOR!$P$6:$P$22,0)=4))</f>
        <v>1</v>
      </c>
      <c r="N9" s="30" t="n">
        <f aca="false">SUMPRODUCT((ROUND(RISCO_SIMULADOR!$O$6:$O$22,0)=2)*(ROUND(RISCO_SIMULADOR!$P$6:$P$22,0)=5))</f>
        <v>1</v>
      </c>
    </row>
    <row r="10" customFormat="false" ht="15" hidden="false" customHeight="false" outlineLevel="0" collapsed="false">
      <c r="A10" s="23" t="n">
        <v>1</v>
      </c>
      <c r="B10" s="32" t="n">
        <f aca="false">SUMPRODUCT((ROUND(RISCO_MATRIZ_17!$G$5:$G$21,0)=1)*(ROUND(RISCO_MATRIZ_17!$H$5:$H$21,0)=1))</f>
        <v>0</v>
      </c>
      <c r="C10" s="32" t="n">
        <f aca="false">SUMPRODUCT((ROUND(RISCO_MATRIZ_17!$G$5:$G$21,0)=1)*(ROUND(RISCO_MATRIZ_17!$H$5:$H$21,0)=2))</f>
        <v>0</v>
      </c>
      <c r="D10" s="32" t="n">
        <f aca="false">SUMPRODUCT((ROUND(RISCO_MATRIZ_17!$G$5:$G$21,0)=1)*(ROUND(RISCO_MATRIZ_17!$H$5:$H$21,0)=3))</f>
        <v>0</v>
      </c>
      <c r="E10" s="32" t="n">
        <f aca="false">SUMPRODUCT((ROUND(RISCO_MATRIZ_17!$G$5:$G$21,0)=1)*(ROUND(RISCO_MATRIZ_17!$H$5:$H$21,0)=4))</f>
        <v>0</v>
      </c>
      <c r="F10" s="29" t="n">
        <f aca="false">SUMPRODUCT((ROUND(RISCO_MATRIZ_17!$G$5:$G$21,0)=1)*(ROUND(RISCO_MATRIZ_17!$H$5:$H$21,0)=5))</f>
        <v>0</v>
      </c>
      <c r="I10" s="23" t="n">
        <v>1</v>
      </c>
      <c r="J10" s="32" t="n">
        <f aca="false">SUMPRODUCT((ROUND(RISCO_SIMULADOR!$O$6:$O$22,0)=1)*(ROUND(RISCO_SIMULADOR!$P$6:$P$22,0)=1))</f>
        <v>0</v>
      </c>
      <c r="K10" s="32" t="n">
        <f aca="false">SUMPRODUCT((ROUND(RISCO_SIMULADOR!$O$6:$O$22,0)=1)*(ROUND(RISCO_SIMULADOR!$P$6:$P$22,0)=2))</f>
        <v>0</v>
      </c>
      <c r="L10" s="32" t="n">
        <f aca="false">SUMPRODUCT((ROUND(RISCO_SIMULADOR!$O$6:$O$22,0)=1)*(ROUND(RISCO_SIMULADOR!$P$6:$P$22,0)=3))</f>
        <v>0</v>
      </c>
      <c r="M10" s="32" t="n">
        <f aca="false">SUMPRODUCT((ROUND(RISCO_SIMULADOR!$O$6:$O$22,0)=1)*(ROUND(RISCO_SIMULADOR!$P$6:$P$22,0)=4))</f>
        <v>0</v>
      </c>
      <c r="N10" s="29" t="n">
        <f aca="false">SUMPRODUCT((ROUND(RISCO_SIMULADOR!$O$6:$O$22,0)=1)*(ROUND(RISCO_SIMULADOR!$P$6:$P$22,0)=5))</f>
        <v>0</v>
      </c>
    </row>
    <row r="13" customFormat="false" ht="15" hidden="false" customHeight="false" outlineLevel="0" collapsed="false">
      <c r="A13" s="2" t="s">
        <v>3465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5C"/>
    <pageSetUpPr fitToPage="fals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11"/>
    <col collapsed="false" customWidth="true" hidden="false" outlineLevel="0" max="4" min="4" style="0" width="14"/>
    <col collapsed="false" customWidth="true" hidden="false" outlineLevel="0" max="6" min="5" style="0" width="12"/>
    <col collapsed="false" customWidth="true" hidden="false" outlineLevel="0" max="7" min="7" style="0" width="16"/>
    <col collapsed="false" customWidth="true" hidden="false" outlineLevel="0" max="8" min="8" style="0" width="14"/>
    <col collapsed="false" customWidth="true" hidden="false" outlineLevel="0" max="9" min="9" style="0" width="11"/>
    <col collapsed="false" customWidth="true" hidden="false" outlineLevel="0" max="10" min="10" style="0" width="14"/>
    <col collapsed="false" customWidth="true" hidden="false" outlineLevel="0" max="11" min="11" style="0" width="16"/>
  </cols>
  <sheetData>
    <row r="1" customFormat="false" ht="17.35" hidden="false" customHeight="false" outlineLevel="0" collapsed="false">
      <c r="A1" s="1" t="s">
        <v>3466</v>
      </c>
    </row>
    <row r="2" customFormat="false" ht="15" hidden="false" customHeight="false" outlineLevel="0" collapsed="false">
      <c r="A2" s="2" t="s">
        <v>3467</v>
      </c>
    </row>
    <row r="5" customFormat="false" ht="23.85" hidden="false" customHeight="false" outlineLevel="0" collapsed="false">
      <c r="A5" s="6" t="s">
        <v>649</v>
      </c>
      <c r="B5" s="6" t="s">
        <v>540</v>
      </c>
      <c r="C5" s="6" t="s">
        <v>3468</v>
      </c>
      <c r="D5" s="6" t="s">
        <v>3469</v>
      </c>
      <c r="E5" s="6" t="s">
        <v>3470</v>
      </c>
      <c r="F5" s="6" t="s">
        <v>3471</v>
      </c>
      <c r="G5" s="6" t="s">
        <v>3472</v>
      </c>
      <c r="H5" s="6" t="s">
        <v>3473</v>
      </c>
      <c r="I5" s="6" t="s">
        <v>3474</v>
      </c>
      <c r="J5" s="6" t="s">
        <v>3475</v>
      </c>
      <c r="K5" s="6" t="s">
        <v>3476</v>
      </c>
    </row>
    <row r="6" customFormat="false" ht="15" hidden="false" customHeight="false" outlineLevel="0" collapsed="false">
      <c r="A6" s="33" t="n">
        <v>1</v>
      </c>
      <c r="B6" s="33" t="s">
        <v>552</v>
      </c>
      <c r="C6" s="33" t="n">
        <v>13</v>
      </c>
      <c r="D6" s="15" t="n">
        <v>0</v>
      </c>
      <c r="E6" s="34" t="n">
        <f aca="false">C6*D6</f>
        <v>0</v>
      </c>
      <c r="F6" s="34" t="n">
        <f aca="false">C6*RISCO_PARAMETROS!$B$5</f>
        <v>5.85</v>
      </c>
      <c r="G6" s="34" t="n">
        <f aca="false">SUMPRODUCT((PMO_BIBLIOTECA_25!$C$5:$C$29=B6)*(PMO_BIBLIOTECA_25!$S$5:$S$29=1)*PMO_BIBLIOTECA_25!$O$5:$O$29)</f>
        <v>0</v>
      </c>
      <c r="H6" s="34" t="n">
        <f aca="false">MIN(C6,E6+G6)</f>
        <v>0</v>
      </c>
      <c r="I6" s="35" t="n">
        <f aca="false">H6/C6</f>
        <v>0</v>
      </c>
      <c r="J6" s="33" t="str">
        <f aca="false">IF(H6+0.000001&gt;=F6,"Sim","NÃO")</f>
        <v>NÃO</v>
      </c>
      <c r="K6" s="34" t="n">
        <f aca="false">MAX(0,F6-H6)</f>
        <v>5.85</v>
      </c>
    </row>
    <row r="7" customFormat="false" ht="15" hidden="false" customHeight="false" outlineLevel="0" collapsed="false">
      <c r="A7" s="33" t="n">
        <v>2</v>
      </c>
      <c r="B7" s="33" t="s">
        <v>564</v>
      </c>
      <c r="C7" s="33" t="n">
        <v>13</v>
      </c>
      <c r="D7" s="15" t="n">
        <v>0</v>
      </c>
      <c r="E7" s="34" t="n">
        <f aca="false">C7*D7</f>
        <v>0</v>
      </c>
      <c r="F7" s="34" t="n">
        <f aca="false">C7*RISCO_PARAMETROS!$B$5</f>
        <v>5.85</v>
      </c>
      <c r="G7" s="34" t="n">
        <f aca="false">SUMPRODUCT((PMO_BIBLIOTECA_25!$C$5:$C$29=B7)*(PMO_BIBLIOTECA_25!$S$5:$S$29=1)*PMO_BIBLIOTECA_25!$O$5:$O$29)</f>
        <v>0</v>
      </c>
      <c r="H7" s="34" t="n">
        <f aca="false">MIN(C7,E7+G7)</f>
        <v>0</v>
      </c>
      <c r="I7" s="35" t="n">
        <f aca="false">H7/C7</f>
        <v>0</v>
      </c>
      <c r="J7" s="33" t="str">
        <f aca="false">IF(H7+0.000001&gt;=F7,"Sim","NÃO")</f>
        <v>NÃO</v>
      </c>
      <c r="K7" s="34" t="n">
        <f aca="false">MAX(0,F7-H7)</f>
        <v>5.85</v>
      </c>
    </row>
    <row r="8" customFormat="false" ht="15" hidden="false" customHeight="false" outlineLevel="0" collapsed="false">
      <c r="A8" s="33" t="n">
        <v>3</v>
      </c>
      <c r="B8" s="33" t="s">
        <v>575</v>
      </c>
      <c r="C8" s="33" t="n">
        <v>10</v>
      </c>
      <c r="D8" s="15" t="n">
        <v>0</v>
      </c>
      <c r="E8" s="34" t="n">
        <f aca="false">C8*D8</f>
        <v>0</v>
      </c>
      <c r="F8" s="34" t="n">
        <f aca="false">C8*RISCO_PARAMETROS!$B$5</f>
        <v>4.5</v>
      </c>
      <c r="G8" s="34" t="n">
        <f aca="false">SUMPRODUCT((PMO_BIBLIOTECA_25!$C$5:$C$29=B8)*(PMO_BIBLIOTECA_25!$S$5:$S$29=1)*PMO_BIBLIOTECA_25!$O$5:$O$29)</f>
        <v>0</v>
      </c>
      <c r="H8" s="34" t="n">
        <f aca="false">MIN(C8,E8+G8)</f>
        <v>0</v>
      </c>
      <c r="I8" s="35" t="n">
        <f aca="false">H8/C8</f>
        <v>0</v>
      </c>
      <c r="J8" s="33" t="str">
        <f aca="false">IF(H8+0.000001&gt;=F8,"Sim","NÃO")</f>
        <v>NÃO</v>
      </c>
      <c r="K8" s="34" t="n">
        <f aca="false">MAX(0,F8-H8)</f>
        <v>4.5</v>
      </c>
    </row>
    <row r="9" customFormat="false" ht="15" hidden="false" customHeight="false" outlineLevel="0" collapsed="false">
      <c r="A9" s="33" t="n">
        <v>4</v>
      </c>
      <c r="B9" s="33" t="s">
        <v>584</v>
      </c>
      <c r="C9" s="33" t="n">
        <v>19</v>
      </c>
      <c r="D9" s="15" t="n">
        <v>0</v>
      </c>
      <c r="E9" s="34" t="n">
        <f aca="false">C9*D9</f>
        <v>0</v>
      </c>
      <c r="F9" s="34" t="n">
        <f aca="false">C9*RISCO_PARAMETROS!$B$5</f>
        <v>8.55</v>
      </c>
      <c r="G9" s="34" t="n">
        <f aca="false">SUMPRODUCT((PMO_BIBLIOTECA_25!$C$5:$C$29=B9)*(PMO_BIBLIOTECA_25!$S$5:$S$29=1)*PMO_BIBLIOTECA_25!$O$5:$O$29)</f>
        <v>0</v>
      </c>
      <c r="H9" s="34" t="n">
        <f aca="false">MIN(C9,E9+G9)</f>
        <v>0</v>
      </c>
      <c r="I9" s="35" t="n">
        <f aca="false">H9/C9</f>
        <v>0</v>
      </c>
      <c r="J9" s="33" t="str">
        <f aca="false">IF(H9+0.000001&gt;=F9,"Sim","NÃO")</f>
        <v>NÃO</v>
      </c>
      <c r="K9" s="34" t="n">
        <f aca="false">MAX(0,F9-H9)</f>
        <v>8.55</v>
      </c>
    </row>
    <row r="10" customFormat="false" ht="15" hidden="false" customHeight="false" outlineLevel="0" collapsed="false">
      <c r="A10" s="33" t="n">
        <v>5</v>
      </c>
      <c r="B10" s="33" t="s">
        <v>594</v>
      </c>
      <c r="C10" s="33" t="n">
        <v>11</v>
      </c>
      <c r="D10" s="15" t="n">
        <v>0</v>
      </c>
      <c r="E10" s="34" t="n">
        <f aca="false">C10*D10</f>
        <v>0</v>
      </c>
      <c r="F10" s="34" t="n">
        <f aca="false">C10*RISCO_PARAMETROS!$B$5</f>
        <v>4.95</v>
      </c>
      <c r="G10" s="34" t="n">
        <f aca="false">SUMPRODUCT((PMO_BIBLIOTECA_25!$C$5:$C$29=B10)*(PMO_BIBLIOTECA_25!$S$5:$S$29=1)*PMO_BIBLIOTECA_25!$O$5:$O$29)</f>
        <v>0</v>
      </c>
      <c r="H10" s="34" t="n">
        <f aca="false">MIN(C10,E10+G10)</f>
        <v>0</v>
      </c>
      <c r="I10" s="35" t="n">
        <f aca="false">H10/C10</f>
        <v>0</v>
      </c>
      <c r="J10" s="33" t="str">
        <f aca="false">IF(H10+0.000001&gt;=F10,"Sim","NÃO")</f>
        <v>NÃO</v>
      </c>
      <c r="K10" s="34" t="n">
        <f aca="false">MAX(0,F10-H10)</f>
        <v>4.95</v>
      </c>
    </row>
    <row r="11" customFormat="false" ht="15" hidden="false" customHeight="false" outlineLevel="0" collapsed="false">
      <c r="A11" s="33" t="n">
        <v>6</v>
      </c>
      <c r="B11" s="33" t="s">
        <v>1184</v>
      </c>
      <c r="C11" s="33" t="n">
        <v>6</v>
      </c>
      <c r="D11" s="15" t="n">
        <v>0</v>
      </c>
      <c r="E11" s="34" t="n">
        <f aca="false">C11*D11</f>
        <v>0</v>
      </c>
      <c r="F11" s="34" t="n">
        <f aca="false">C11*RISCO_PARAMETROS!$B$5</f>
        <v>2.7</v>
      </c>
      <c r="G11" s="34" t="n">
        <f aca="false">SUMPRODUCT((PMO_BIBLIOTECA_25!$C$5:$C$29=B11)*(PMO_BIBLIOTECA_25!$S$5:$S$29=1)*PMO_BIBLIOTECA_25!$O$5:$O$29)</f>
        <v>0</v>
      </c>
      <c r="H11" s="34" t="n">
        <f aca="false">MIN(C11,E11+G11)</f>
        <v>0</v>
      </c>
      <c r="I11" s="35" t="n">
        <f aca="false">H11/C11</f>
        <v>0</v>
      </c>
      <c r="J11" s="33" t="str">
        <f aca="false">IF(H11+0.000001&gt;=F11,"Sim","NÃO")</f>
        <v>NÃO</v>
      </c>
      <c r="K11" s="34" t="n">
        <f aca="false">MAX(0,F11-H11)</f>
        <v>2.7</v>
      </c>
    </row>
    <row r="12" customFormat="false" ht="15" hidden="false" customHeight="false" outlineLevel="0" collapsed="false">
      <c r="A12" s="33" t="n">
        <v>7</v>
      </c>
      <c r="B12" s="33" t="s">
        <v>613</v>
      </c>
      <c r="C12" s="33" t="n">
        <v>9</v>
      </c>
      <c r="D12" s="15" t="n">
        <v>0</v>
      </c>
      <c r="E12" s="34" t="n">
        <f aca="false">C12*D12</f>
        <v>0</v>
      </c>
      <c r="F12" s="34" t="n">
        <f aca="false">C12*RISCO_PARAMETROS!$B$5</f>
        <v>4.05</v>
      </c>
      <c r="G12" s="34" t="n">
        <f aca="false">SUMPRODUCT((PMO_BIBLIOTECA_25!$C$5:$C$29=B12)*(PMO_BIBLIOTECA_25!$S$5:$S$29=1)*PMO_BIBLIOTECA_25!$O$5:$O$29)</f>
        <v>0</v>
      </c>
      <c r="H12" s="34" t="n">
        <f aca="false">MIN(C12,E12+G12)</f>
        <v>0</v>
      </c>
      <c r="I12" s="35" t="n">
        <f aca="false">H12/C12</f>
        <v>0</v>
      </c>
      <c r="J12" s="33" t="str">
        <f aca="false">IF(H12+0.000001&gt;=F12,"Sim","NÃO")</f>
        <v>NÃO</v>
      </c>
      <c r="K12" s="34" t="n">
        <f aca="false">MAX(0,F12-H12)</f>
        <v>4.05</v>
      </c>
    </row>
    <row r="13" customFormat="false" ht="15" hidden="false" customHeight="false" outlineLevel="0" collapsed="false">
      <c r="A13" s="33" t="n">
        <v>8</v>
      </c>
      <c r="B13" s="33" t="s">
        <v>1207</v>
      </c>
      <c r="C13" s="33" t="n">
        <v>9</v>
      </c>
      <c r="D13" s="15" t="n">
        <v>0</v>
      </c>
      <c r="E13" s="34" t="n">
        <f aca="false">C13*D13</f>
        <v>0</v>
      </c>
      <c r="F13" s="34" t="n">
        <f aca="false">C13*RISCO_PARAMETROS!$B$5</f>
        <v>4.05</v>
      </c>
      <c r="G13" s="34" t="n">
        <f aca="false">SUMPRODUCT((PMO_BIBLIOTECA_25!$C$5:$C$29=B13)*(PMO_BIBLIOTECA_25!$S$5:$S$29=1)*PMO_BIBLIOTECA_25!$O$5:$O$29)</f>
        <v>0</v>
      </c>
      <c r="H13" s="34" t="n">
        <f aca="false">MIN(C13,E13+G13)</f>
        <v>0</v>
      </c>
      <c r="I13" s="35" t="n">
        <f aca="false">H13/C13</f>
        <v>0</v>
      </c>
      <c r="J13" s="33" t="str">
        <f aca="false">IF(H13+0.000001&gt;=F13,"Sim","NÃO")</f>
        <v>NÃO</v>
      </c>
      <c r="K13" s="34" t="n">
        <f aca="false">MAX(0,F13-H13)</f>
        <v>4.05</v>
      </c>
    </row>
    <row r="14" customFormat="false" ht="15" hidden="false" customHeight="false" outlineLevel="0" collapsed="false">
      <c r="A14" s="33" t="n">
        <v>9</v>
      </c>
      <c r="B14" s="33" t="s">
        <v>1279</v>
      </c>
      <c r="C14" s="33" t="n">
        <v>5</v>
      </c>
      <c r="D14" s="15" t="n">
        <v>0</v>
      </c>
      <c r="E14" s="34" t="n">
        <f aca="false">C14*D14</f>
        <v>0</v>
      </c>
      <c r="F14" s="34" t="n">
        <f aca="false">C14*RISCO_PARAMETROS!$B$5</f>
        <v>2.25</v>
      </c>
      <c r="G14" s="34" t="n">
        <f aca="false">SUMPRODUCT((PMO_BIBLIOTECA_25!$C$5:$C$29=B14)*(PMO_BIBLIOTECA_25!$S$5:$S$29=1)*PMO_BIBLIOTECA_25!$O$5:$O$29)</f>
        <v>0</v>
      </c>
      <c r="H14" s="34" t="n">
        <f aca="false">MIN(C14,E14+G14)</f>
        <v>0</v>
      </c>
      <c r="I14" s="35" t="n">
        <f aca="false">H14/C14</f>
        <v>0</v>
      </c>
      <c r="J14" s="33" t="str">
        <f aca="false">IF(H14+0.000001&gt;=F14,"Sim","NÃO")</f>
        <v>NÃO</v>
      </c>
      <c r="K14" s="34" t="n">
        <f aca="false">MAX(0,F14-H14)</f>
        <v>2.25</v>
      </c>
    </row>
    <row r="15" customFormat="false" ht="15" hidden="false" customHeight="false" outlineLevel="0" collapsed="false">
      <c r="A15" s="33" t="n">
        <v>10</v>
      </c>
      <c r="B15" s="33" t="s">
        <v>623</v>
      </c>
      <c r="C15" s="33" t="n">
        <v>5</v>
      </c>
      <c r="D15" s="15" t="n">
        <v>0</v>
      </c>
      <c r="E15" s="34" t="n">
        <f aca="false">C15*D15</f>
        <v>0</v>
      </c>
      <c r="F15" s="34" t="n">
        <f aca="false">C15*RISCO_PARAMETROS!$B$5</f>
        <v>2.25</v>
      </c>
      <c r="G15" s="34" t="n">
        <f aca="false">SUMPRODUCT((PMO_BIBLIOTECA_25!$C$5:$C$29=B15)*(PMO_BIBLIOTECA_25!$S$5:$S$29=1)*PMO_BIBLIOTECA_25!$O$5:$O$29)</f>
        <v>0</v>
      </c>
      <c r="H15" s="34" t="n">
        <f aca="false">MIN(C15,E15+G15)</f>
        <v>0</v>
      </c>
      <c r="I15" s="35" t="n">
        <f aca="false">H15/C15</f>
        <v>0</v>
      </c>
      <c r="J15" s="33" t="str">
        <f aca="false">IF(H15+0.000001&gt;=F15,"Sim","NÃO")</f>
        <v>NÃO</v>
      </c>
      <c r="K15" s="34" t="n">
        <f aca="false">MAX(0,F15-H15)</f>
        <v>2.25</v>
      </c>
    </row>
    <row r="16" customFormat="false" ht="15" hidden="false" customHeight="false" outlineLevel="0" collapsed="false">
      <c r="B16" s="11" t="s">
        <v>2017</v>
      </c>
      <c r="C16" s="12" t="n">
        <f aca="false">SUM(C6:C15)</f>
        <v>100</v>
      </c>
      <c r="E16" s="12" t="n">
        <f aca="false">SUM(E6:E15)</f>
        <v>0</v>
      </c>
      <c r="G16" s="12" t="n">
        <f aca="false">SUM(G6:G15)</f>
        <v>0</v>
      </c>
      <c r="H16" s="12" t="n">
        <f aca="false">SUM(H6:H15)</f>
        <v>0</v>
      </c>
    </row>
    <row r="18" customFormat="false" ht="15" hidden="false" customHeight="false" outlineLevel="0" collapsed="false">
      <c r="B18" s="11" t="s">
        <v>3477</v>
      </c>
      <c r="C18" s="36" t="n">
        <f aca="false">E16</f>
        <v>0</v>
      </c>
    </row>
    <row r="19" customFormat="false" ht="15" hidden="false" customHeight="false" outlineLevel="0" collapsed="false">
      <c r="B19" s="11" t="s">
        <v>3478</v>
      </c>
      <c r="C19" s="36" t="n">
        <f aca="false">H16</f>
        <v>0</v>
      </c>
    </row>
    <row r="20" customFormat="false" ht="15" hidden="false" customHeight="false" outlineLevel="0" collapsed="false">
      <c r="B20" s="11" t="s">
        <v>3479</v>
      </c>
      <c r="C20" s="36" t="n">
        <f aca="false">RISCO_PARAMETROS!$B$4</f>
        <v>70</v>
      </c>
    </row>
    <row r="21" customFormat="false" ht="15" hidden="false" customHeight="false" outlineLevel="0" collapsed="false">
      <c r="B21" s="11" t="s">
        <v>3480</v>
      </c>
      <c r="C21" s="36" t="n">
        <f aca="false">MAX(0,C20-C19)</f>
        <v>70</v>
      </c>
    </row>
    <row r="22" customFormat="false" ht="15" hidden="false" customHeight="false" outlineLevel="0" collapsed="false">
      <c r="B22" s="11" t="s">
        <v>3481</v>
      </c>
      <c r="C22" s="5" t="n">
        <f aca="false">COUNTIF(J6:J15,"NÃO")</f>
        <v>10</v>
      </c>
    </row>
    <row r="23" customFormat="false" ht="15" hidden="false" customHeight="false" outlineLevel="0" collapsed="false">
      <c r="B23" s="11" t="s">
        <v>3482</v>
      </c>
      <c r="C23" s="5" t="str">
        <f aca="false">IF(AND(C19&gt;=C20,C22=0),"ATENDE meta e mínimos","NÃO ATENDE — veja gaps por área")</f>
        <v>NÃO ATENDE — veja gaps por área</v>
      </c>
    </row>
    <row r="24" customFormat="false" ht="15" hidden="false" customHeight="false" outlineLevel="0" collapsed="false">
      <c r="B24" s="11" t="s">
        <v>3483</v>
      </c>
      <c r="C24" s="36" t="n">
        <f aca="false">SUMPRODUCT((PMO_BIBLIOTECA_25!$S$5:$S$29=1)*PMO_BIBLIOTECA_25!$M$5:$M$29)</f>
        <v>0</v>
      </c>
    </row>
    <row r="25" customFormat="false" ht="15" hidden="false" customHeight="false" outlineLevel="0" collapsed="false">
      <c r="B25" s="11" t="s">
        <v>3484</v>
      </c>
      <c r="C25" s="36" t="n">
        <f aca="false">C24/RISCO_PARAMETROS!$B$10</f>
        <v>0</v>
      </c>
    </row>
    <row r="26" customFormat="false" ht="15" hidden="false" customHeight="false" outlineLevel="0" collapsed="false">
      <c r="B26" s="11" t="s">
        <v>3485</v>
      </c>
      <c r="C26" s="5" t="str">
        <f aca="false">IF(RISCO_PARAMETROS!$B$12="","informe o custo/dia em RISCO_PARAMETROS",C24*RISCO_PARAMETROS!$B$12)</f>
        <v>informe o custo/dia em RISCO_PARAMETROS</v>
      </c>
    </row>
    <row r="28" customFormat="false" ht="15" hidden="false" customHeight="false" outlineLevel="0" collapsed="false">
      <c r="B28" s="2" t="s">
        <v>3486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5C"/>
    <pageSetUpPr fitToPage="false"/>
  </sheetPr>
  <dimension ref="A1:T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30"/>
    <col collapsed="false" customWidth="true" hidden="false" outlineLevel="0" max="4" min="4" style="0" width="7"/>
    <col collapsed="false" customWidth="true" hidden="false" outlineLevel="0" max="5" min="5" style="0" width="60"/>
    <col collapsed="false" customWidth="true" hidden="false" outlineLevel="0" max="7" min="6" style="0" width="9"/>
    <col collapsed="false" customWidth="true" hidden="false" outlineLevel="0" max="8" min="8" style="0" width="11"/>
    <col collapsed="false" customWidth="true" hidden="false" outlineLevel="0" max="9" min="9" style="0" width="10"/>
    <col collapsed="false" customWidth="true" hidden="false" outlineLevel="0" max="10" min="10" style="0" width="22"/>
    <col collapsed="false" customWidth="true" hidden="false" outlineLevel="0" max="11" min="11" style="0" width="36"/>
    <col collapsed="false" customWidth="true" hidden="false" outlineLevel="0" max="12" min="12" style="0" width="12"/>
    <col collapsed="false" customWidth="true" hidden="false" outlineLevel="0" max="13" min="13" style="0" width="11"/>
    <col collapsed="false" customWidth="true" hidden="false" outlineLevel="0" max="14" min="14" style="0" width="9"/>
    <col collapsed="false" customWidth="true" hidden="false" outlineLevel="0" max="17" min="15" style="0" width="11"/>
    <col collapsed="false" customWidth="true" hidden="false" outlineLevel="0" max="18" min="18" style="0" width="9"/>
    <col collapsed="false" customWidth="true" hidden="false" outlineLevel="0" max="19" min="19" style="0" width="13"/>
    <col collapsed="false" customWidth="true" hidden="false" outlineLevel="0" max="20" min="20" style="0" width="40"/>
  </cols>
  <sheetData>
    <row r="1" customFormat="false" ht="17.35" hidden="false" customHeight="false" outlineLevel="0" collapsed="false">
      <c r="A1" s="1" t="s">
        <v>3487</v>
      </c>
    </row>
    <row r="2" customFormat="false" ht="15" hidden="false" customHeight="false" outlineLevel="0" collapsed="false">
      <c r="A2" s="2" t="s">
        <v>3488</v>
      </c>
    </row>
    <row r="4" customFormat="false" ht="31.5" hidden="false" customHeight="true" outlineLevel="0" collapsed="false">
      <c r="A4" s="6" t="s">
        <v>118</v>
      </c>
      <c r="B4" s="6" t="s">
        <v>2586</v>
      </c>
      <c r="C4" s="6" t="s">
        <v>3178</v>
      </c>
      <c r="D4" s="6" t="s">
        <v>3489</v>
      </c>
      <c r="E4" s="6" t="s">
        <v>3490</v>
      </c>
      <c r="F4" s="6" t="s">
        <v>3491</v>
      </c>
      <c r="G4" s="6" t="s">
        <v>3492</v>
      </c>
      <c r="H4" s="6" t="s">
        <v>3493</v>
      </c>
      <c r="I4" s="6" t="s">
        <v>3494</v>
      </c>
      <c r="J4" s="6" t="s">
        <v>3495</v>
      </c>
      <c r="K4" s="6" t="s">
        <v>3496</v>
      </c>
      <c r="L4" s="6" t="s">
        <v>3497</v>
      </c>
      <c r="M4" s="6" t="s">
        <v>3498</v>
      </c>
      <c r="N4" s="6" t="s">
        <v>3499</v>
      </c>
      <c r="O4" s="6" t="s">
        <v>3500</v>
      </c>
      <c r="P4" s="6" t="s">
        <v>3501</v>
      </c>
      <c r="Q4" s="6" t="s">
        <v>3502</v>
      </c>
      <c r="R4" s="6" t="s">
        <v>3503</v>
      </c>
      <c r="S4" s="6" t="s">
        <v>3504</v>
      </c>
      <c r="T4" s="6" t="s">
        <v>3505</v>
      </c>
    </row>
    <row r="5" customFormat="false" ht="57.45" hidden="false" customHeight="false" outlineLevel="0" collapsed="false">
      <c r="A5" s="7" t="s">
        <v>3506</v>
      </c>
      <c r="B5" s="7" t="s">
        <v>3507</v>
      </c>
      <c r="C5" s="7" t="s">
        <v>552</v>
      </c>
      <c r="D5" s="7" t="s">
        <v>3168</v>
      </c>
      <c r="E5" s="7" t="s">
        <v>3508</v>
      </c>
      <c r="F5" s="7" t="s">
        <v>3196</v>
      </c>
      <c r="G5" s="7" t="n">
        <v>7</v>
      </c>
      <c r="H5" s="8" t="n">
        <v>3</v>
      </c>
      <c r="I5" s="7"/>
      <c r="J5" s="7" t="s">
        <v>3207</v>
      </c>
      <c r="K5" s="7" t="s">
        <v>3203</v>
      </c>
      <c r="L5" s="7" t="s">
        <v>3208</v>
      </c>
      <c r="M5" s="25" t="n">
        <f aca="false">MAX(1,ROUND(2*(INDEX(RISCO_PARAMETROS!$B$19:$B$22,MATCH(D5,RISCO_PARAMETROS!$A$19:$A$22,0))+INDEX(RISCO_PARAMETROS!$C$19:$C$22,MATCH(D5,RISCO_PARAMETROS!$A$19:$A$22,0))*G5),0)/2)</f>
        <v>4</v>
      </c>
      <c r="N5" s="7" t="n">
        <f aca="false">INDEX(RISCO_MATRIZ_17!$I$5:$I$21,MATCH(F5,RISCO_MATRIZ_17!$A$5:$A$21,0))</f>
        <v>20</v>
      </c>
      <c r="O5" s="8" t="n">
        <f aca="false">IF(B5="ISO",0,H5*(1-IFERROR(INDEX(SIM_PROETICA!$D$6:$D$15,MATCH(C5,SIM_PROETICA!$B$6:$B$15,0)),0)))</f>
        <v>3</v>
      </c>
      <c r="P5" s="25" t="n">
        <f aca="false">50*MIN(1,N5/25)+30*MIN(1,O5/6)</f>
        <v>55</v>
      </c>
      <c r="Q5" s="8" t="n">
        <f aca="false">P5/SQRT(M5)</f>
        <v>27.5</v>
      </c>
      <c r="R5" s="7" t="n">
        <f aca="false">RANK(Q5,$Q$5:$Q$29)+COUNTIF($Q$5:Q5,Q5)-1</f>
        <v>3</v>
      </c>
      <c r="S5" s="13" t="n">
        <v>0</v>
      </c>
      <c r="T5" s="7" t="s">
        <v>3509</v>
      </c>
    </row>
    <row r="6" customFormat="false" ht="57.45" hidden="false" customHeight="false" outlineLevel="0" collapsed="false">
      <c r="A6" s="7" t="s">
        <v>3510</v>
      </c>
      <c r="B6" s="7" t="s">
        <v>3507</v>
      </c>
      <c r="C6" s="7" t="s">
        <v>552</v>
      </c>
      <c r="D6" s="7" t="s">
        <v>619</v>
      </c>
      <c r="E6" s="7" t="s">
        <v>3511</v>
      </c>
      <c r="F6" s="7" t="s">
        <v>3196</v>
      </c>
      <c r="G6" s="7" t="n">
        <v>16</v>
      </c>
      <c r="H6" s="8" t="n">
        <v>10</v>
      </c>
      <c r="I6" s="7"/>
      <c r="J6" s="7" t="s">
        <v>3207</v>
      </c>
      <c r="K6" s="7" t="s">
        <v>3203</v>
      </c>
      <c r="L6" s="7" t="s">
        <v>3208</v>
      </c>
      <c r="M6" s="25" t="n">
        <f aca="false">MAX(1,ROUND(2*(INDEX(RISCO_PARAMETROS!$B$19:$B$22,MATCH(D6,RISCO_PARAMETROS!$A$19:$A$22,0))+INDEX(RISCO_PARAMETROS!$C$19:$C$22,MATCH(D6,RISCO_PARAMETROS!$A$19:$A$22,0))*G6),0)/2)</f>
        <v>9.5</v>
      </c>
      <c r="N6" s="7" t="n">
        <f aca="false">INDEX(RISCO_MATRIZ_17!$I$5:$I$21,MATCH(F6,RISCO_MATRIZ_17!$A$5:$A$21,0))</f>
        <v>20</v>
      </c>
      <c r="O6" s="8" t="n">
        <f aca="false">IF(B6="ISO",0,H6*(1-IFERROR(INDEX(SIM_PROETICA!$D$6:$D$15,MATCH(C6,SIM_PROETICA!$B$6:$B$15,0)),0)))</f>
        <v>10</v>
      </c>
      <c r="P6" s="25" t="n">
        <f aca="false">50*MIN(1,N6/25)+30*MIN(1,O6/6)</f>
        <v>70</v>
      </c>
      <c r="Q6" s="8" t="n">
        <f aca="false">P6/SQRT(M6)</f>
        <v>22.7109989583068</v>
      </c>
      <c r="R6" s="7" t="n">
        <f aca="false">RANK(Q6,$Q$5:$Q$29)+COUNTIF($Q$5:Q6,Q6)-1</f>
        <v>11</v>
      </c>
      <c r="S6" s="13" t="n">
        <v>0</v>
      </c>
      <c r="T6" s="7" t="s">
        <v>3512</v>
      </c>
    </row>
    <row r="7" customFormat="false" ht="46.25" hidden="false" customHeight="false" outlineLevel="0" collapsed="false">
      <c r="A7" s="7" t="s">
        <v>3513</v>
      </c>
      <c r="B7" s="7" t="s">
        <v>3507</v>
      </c>
      <c r="C7" s="7" t="s">
        <v>564</v>
      </c>
      <c r="D7" s="7" t="s">
        <v>3168</v>
      </c>
      <c r="E7" s="7" t="s">
        <v>3514</v>
      </c>
      <c r="F7" s="7" t="s">
        <v>3213</v>
      </c>
      <c r="G7" s="7" t="n">
        <v>10</v>
      </c>
      <c r="H7" s="8" t="n">
        <v>10.4</v>
      </c>
      <c r="I7" s="7"/>
      <c r="J7" s="7" t="s">
        <v>3223</v>
      </c>
      <c r="K7" s="7" t="s">
        <v>3219</v>
      </c>
      <c r="L7" s="7" t="s">
        <v>3224</v>
      </c>
      <c r="M7" s="25" t="n">
        <f aca="false">MAX(1,ROUND(2*(INDEX(RISCO_PARAMETROS!$B$19:$B$22,MATCH(D7,RISCO_PARAMETROS!$A$19:$A$22,0))+INDEX(RISCO_PARAMETROS!$C$19:$C$22,MATCH(D7,RISCO_PARAMETROS!$A$19:$A$22,0))*G7),0)/2)</f>
        <v>4.5</v>
      </c>
      <c r="N7" s="7" t="n">
        <f aca="false">INDEX(RISCO_MATRIZ_17!$I$5:$I$21,MATCH(F7,RISCO_MATRIZ_17!$A$5:$A$21,0))</f>
        <v>15</v>
      </c>
      <c r="O7" s="8" t="n">
        <f aca="false">IF(B7="ISO",0,H7*(1-IFERROR(INDEX(SIM_PROETICA!$D$6:$D$15,MATCH(C7,SIM_PROETICA!$B$6:$B$15,0)),0)))</f>
        <v>10.4</v>
      </c>
      <c r="P7" s="25" t="n">
        <f aca="false">50*MIN(1,N7/25)+30*MIN(1,O7/6)</f>
        <v>60</v>
      </c>
      <c r="Q7" s="8" t="n">
        <f aca="false">P7/SQRT(M7)</f>
        <v>28.2842712474619</v>
      </c>
      <c r="R7" s="7" t="n">
        <f aca="false">RANK(Q7,$Q$5:$Q$29)+COUNTIF($Q$5:Q7,Q7)-1</f>
        <v>2</v>
      </c>
      <c r="S7" s="13" t="n">
        <v>0</v>
      </c>
      <c r="T7" s="7" t="s">
        <v>3515</v>
      </c>
    </row>
    <row r="8" customFormat="false" ht="46.25" hidden="false" customHeight="false" outlineLevel="0" collapsed="false">
      <c r="A8" s="7" t="s">
        <v>3516</v>
      </c>
      <c r="B8" s="7" t="s">
        <v>3507</v>
      </c>
      <c r="C8" s="7" t="s">
        <v>564</v>
      </c>
      <c r="D8" s="7" t="s">
        <v>619</v>
      </c>
      <c r="E8" s="7" t="s">
        <v>3517</v>
      </c>
      <c r="F8" s="7" t="s">
        <v>3213</v>
      </c>
      <c r="G8" s="7" t="n">
        <v>3</v>
      </c>
      <c r="H8" s="8" t="n">
        <v>2.6</v>
      </c>
      <c r="I8" s="7" t="s">
        <v>3513</v>
      </c>
      <c r="J8" s="7" t="s">
        <v>3223</v>
      </c>
      <c r="K8" s="7" t="s">
        <v>3219</v>
      </c>
      <c r="L8" s="7" t="s">
        <v>3224</v>
      </c>
      <c r="M8" s="25" t="n">
        <f aca="false">MAX(1,ROUND(2*(INDEX(RISCO_PARAMETROS!$B$19:$B$22,MATCH(D8,RISCO_PARAMETROS!$A$19:$A$22,0))+INDEX(RISCO_PARAMETROS!$C$19:$C$22,MATCH(D8,RISCO_PARAMETROS!$A$19:$A$22,0))*G8),0)/2)</f>
        <v>4</v>
      </c>
      <c r="N8" s="7" t="n">
        <f aca="false">INDEX(RISCO_MATRIZ_17!$I$5:$I$21,MATCH(F8,RISCO_MATRIZ_17!$A$5:$A$21,0))</f>
        <v>15</v>
      </c>
      <c r="O8" s="8" t="n">
        <f aca="false">IF(B8="ISO",0,H8*(1-IFERROR(INDEX(SIM_PROETICA!$D$6:$D$15,MATCH(C8,SIM_PROETICA!$B$6:$B$15,0)),0)))</f>
        <v>2.6</v>
      </c>
      <c r="P8" s="25" t="n">
        <f aca="false">50*MIN(1,N8/25)+30*MIN(1,O8/6)</f>
        <v>43</v>
      </c>
      <c r="Q8" s="8" t="n">
        <f aca="false">P8/SQRT(M8)</f>
        <v>21.5</v>
      </c>
      <c r="R8" s="7" t="n">
        <f aca="false">RANK(Q8,$Q$5:$Q$29)+COUNTIF($Q$5:Q8,Q8)-1</f>
        <v>13</v>
      </c>
      <c r="S8" s="13" t="n">
        <v>0</v>
      </c>
      <c r="T8" s="7" t="s">
        <v>3518</v>
      </c>
    </row>
    <row r="9" customFormat="false" ht="23.85" hidden="false" customHeight="false" outlineLevel="0" collapsed="false">
      <c r="A9" s="7" t="s">
        <v>3519</v>
      </c>
      <c r="B9" s="7" t="s">
        <v>3507</v>
      </c>
      <c r="C9" s="7" t="s">
        <v>575</v>
      </c>
      <c r="D9" s="7" t="s">
        <v>3168</v>
      </c>
      <c r="E9" s="7" t="s">
        <v>3520</v>
      </c>
      <c r="F9" s="7" t="s">
        <v>3227</v>
      </c>
      <c r="G9" s="7" t="n">
        <v>4</v>
      </c>
      <c r="H9" s="8" t="n">
        <v>2.5</v>
      </c>
      <c r="I9" s="7"/>
      <c r="J9" s="7" t="s">
        <v>3237</v>
      </c>
      <c r="K9" s="7" t="s">
        <v>3233</v>
      </c>
      <c r="L9" s="7" t="s">
        <v>3238</v>
      </c>
      <c r="M9" s="25" t="n">
        <f aca="false">MAX(1,ROUND(2*(INDEX(RISCO_PARAMETROS!$B$19:$B$22,MATCH(D9,RISCO_PARAMETROS!$A$19:$A$22,0))+INDEX(RISCO_PARAMETROS!$C$19:$C$22,MATCH(D9,RISCO_PARAMETROS!$A$19:$A$22,0))*G9),0)/2)</f>
        <v>3</v>
      </c>
      <c r="N9" s="7" t="n">
        <f aca="false">INDEX(RISCO_MATRIZ_17!$I$5:$I$21,MATCH(F9,RISCO_MATRIZ_17!$A$5:$A$21,0))</f>
        <v>16</v>
      </c>
      <c r="O9" s="8" t="n">
        <f aca="false">IF(B9="ISO",0,H9*(1-IFERROR(INDEX(SIM_PROETICA!$D$6:$D$15,MATCH(C9,SIM_PROETICA!$B$6:$B$15,0)),0)))</f>
        <v>2.5</v>
      </c>
      <c r="P9" s="25" t="n">
        <f aca="false">50*MIN(1,N9/25)+30*MIN(1,O9/6)</f>
        <v>44.5</v>
      </c>
      <c r="Q9" s="8" t="n">
        <f aca="false">P9/SQRT(M9)</f>
        <v>25.6920869789384</v>
      </c>
      <c r="R9" s="7" t="n">
        <f aca="false">RANK(Q9,$Q$5:$Q$29)+COUNTIF($Q$5:Q9,Q9)-1</f>
        <v>4</v>
      </c>
      <c r="S9" s="13" t="n">
        <v>0</v>
      </c>
      <c r="T9" s="7" t="s">
        <v>3521</v>
      </c>
    </row>
    <row r="10" customFormat="false" ht="35.05" hidden="false" customHeight="false" outlineLevel="0" collapsed="false">
      <c r="A10" s="7" t="s">
        <v>3522</v>
      </c>
      <c r="B10" s="7" t="s">
        <v>3507</v>
      </c>
      <c r="C10" s="7" t="s">
        <v>575</v>
      </c>
      <c r="D10" s="7" t="s">
        <v>619</v>
      </c>
      <c r="E10" s="7" t="s">
        <v>3523</v>
      </c>
      <c r="F10" s="7" t="s">
        <v>3227</v>
      </c>
      <c r="G10" s="7" t="n">
        <v>10</v>
      </c>
      <c r="H10" s="8" t="n">
        <v>7.5</v>
      </c>
      <c r="I10" s="7" t="s">
        <v>3519</v>
      </c>
      <c r="J10" s="7" t="s">
        <v>3237</v>
      </c>
      <c r="K10" s="7" t="s">
        <v>3233</v>
      </c>
      <c r="L10" s="7" t="s">
        <v>3238</v>
      </c>
      <c r="M10" s="25" t="n">
        <f aca="false">MAX(1,ROUND(2*(INDEX(RISCO_PARAMETROS!$B$19:$B$22,MATCH(D10,RISCO_PARAMETROS!$A$19:$A$22,0))+INDEX(RISCO_PARAMETROS!$C$19:$C$22,MATCH(D10,RISCO_PARAMETROS!$A$19:$A$22,0))*G10),0)/2)</f>
        <v>7</v>
      </c>
      <c r="N10" s="7" t="n">
        <f aca="false">INDEX(RISCO_MATRIZ_17!$I$5:$I$21,MATCH(F10,RISCO_MATRIZ_17!$A$5:$A$21,0))</f>
        <v>16</v>
      </c>
      <c r="O10" s="8" t="n">
        <f aca="false">IF(B10="ISO",0,H10*(1-IFERROR(INDEX(SIM_PROETICA!$D$6:$D$15,MATCH(C10,SIM_PROETICA!$B$6:$B$15,0)),0)))</f>
        <v>7.5</v>
      </c>
      <c r="P10" s="25" t="n">
        <f aca="false">50*MIN(1,N10/25)+30*MIN(1,O10/6)</f>
        <v>62</v>
      </c>
      <c r="Q10" s="8" t="n">
        <f aca="false">P10/SQRT(M10)</f>
        <v>23.4337973265721</v>
      </c>
      <c r="R10" s="7" t="n">
        <f aca="false">RANK(Q10,$Q$5:$Q$29)+COUNTIF($Q$5:Q10,Q10)-1</f>
        <v>10</v>
      </c>
      <c r="S10" s="13" t="n">
        <v>0</v>
      </c>
      <c r="T10" s="7" t="s">
        <v>3524</v>
      </c>
    </row>
    <row r="11" customFormat="false" ht="113.4" hidden="false" customHeight="false" outlineLevel="0" collapsed="false">
      <c r="A11" s="7" t="s">
        <v>3525</v>
      </c>
      <c r="B11" s="7" t="s">
        <v>3507</v>
      </c>
      <c r="C11" s="7" t="s">
        <v>584</v>
      </c>
      <c r="D11" s="7" t="s">
        <v>3168</v>
      </c>
      <c r="E11" s="7" t="s">
        <v>3526</v>
      </c>
      <c r="F11" s="7" t="s">
        <v>3241</v>
      </c>
      <c r="G11" s="7" t="n">
        <v>45</v>
      </c>
      <c r="H11" s="8" t="n">
        <v>11.9</v>
      </c>
      <c r="I11" s="7"/>
      <c r="J11" s="7" t="s">
        <v>3251</v>
      </c>
      <c r="K11" s="7" t="s">
        <v>3247</v>
      </c>
      <c r="L11" s="7" t="s">
        <v>3252</v>
      </c>
      <c r="M11" s="25" t="n">
        <f aca="false">MAX(1,ROUND(2*(INDEX(RISCO_PARAMETROS!$B$19:$B$22,MATCH(D11,RISCO_PARAMETROS!$A$19:$A$22,0))+INDEX(RISCO_PARAMETROS!$C$19:$C$22,MATCH(D11,RISCO_PARAMETROS!$A$19:$A$22,0))*G11),0)/2)</f>
        <v>13.5</v>
      </c>
      <c r="N11" s="7" t="n">
        <f aca="false">INDEX(RISCO_MATRIZ_17!$I$5:$I$21,MATCH(F11,RISCO_MATRIZ_17!$A$5:$A$21,0))</f>
        <v>16</v>
      </c>
      <c r="O11" s="8" t="n">
        <f aca="false">IF(B11="ISO",0,H11*(1-IFERROR(INDEX(SIM_PROETICA!$D$6:$D$15,MATCH(C11,SIM_PROETICA!$B$6:$B$15,0)),0)))</f>
        <v>11.9</v>
      </c>
      <c r="P11" s="25" t="n">
        <f aca="false">50*MIN(1,N11/25)+30*MIN(1,O11/6)</f>
        <v>62</v>
      </c>
      <c r="Q11" s="8" t="n">
        <f aca="false">P11/SQRT(M11)</f>
        <v>16.8742626725063</v>
      </c>
      <c r="R11" s="7" t="n">
        <f aca="false">RANK(Q11,$Q$5:$Q$29)+COUNTIF($Q$5:Q11,Q11)-1</f>
        <v>16</v>
      </c>
      <c r="S11" s="13" t="n">
        <v>0</v>
      </c>
      <c r="T11" s="7" t="s">
        <v>3527</v>
      </c>
    </row>
    <row r="12" customFormat="false" ht="46.25" hidden="false" customHeight="false" outlineLevel="0" collapsed="false">
      <c r="A12" s="7" t="s">
        <v>3528</v>
      </c>
      <c r="B12" s="7" t="s">
        <v>3507</v>
      </c>
      <c r="C12" s="7" t="s">
        <v>584</v>
      </c>
      <c r="D12" s="7" t="s">
        <v>619</v>
      </c>
      <c r="E12" s="7" t="s">
        <v>3529</v>
      </c>
      <c r="F12" s="7" t="s">
        <v>3241</v>
      </c>
      <c r="G12" s="7" t="n">
        <v>4</v>
      </c>
      <c r="H12" s="8" t="n">
        <v>7.1</v>
      </c>
      <c r="I12" s="7" t="s">
        <v>3525</v>
      </c>
      <c r="J12" s="7" t="s">
        <v>3251</v>
      </c>
      <c r="K12" s="7" t="s">
        <v>3247</v>
      </c>
      <c r="L12" s="7" t="s">
        <v>3252</v>
      </c>
      <c r="M12" s="25" t="n">
        <f aca="false">MAX(1,ROUND(2*(INDEX(RISCO_PARAMETROS!$B$19:$B$22,MATCH(D12,RISCO_PARAMETROS!$A$19:$A$22,0))+INDEX(RISCO_PARAMETROS!$C$19:$C$22,MATCH(D12,RISCO_PARAMETROS!$A$19:$A$22,0))*G12),0)/2)</f>
        <v>4.5</v>
      </c>
      <c r="N12" s="7" t="n">
        <f aca="false">INDEX(RISCO_MATRIZ_17!$I$5:$I$21,MATCH(F12,RISCO_MATRIZ_17!$A$5:$A$21,0))</f>
        <v>16</v>
      </c>
      <c r="O12" s="8" t="n">
        <f aca="false">IF(B12="ISO",0,H12*(1-IFERROR(INDEX(SIM_PROETICA!$D$6:$D$15,MATCH(C12,SIM_PROETICA!$B$6:$B$15,0)),0)))</f>
        <v>7.1</v>
      </c>
      <c r="P12" s="25" t="n">
        <f aca="false">50*MIN(1,N12/25)+30*MIN(1,O12/6)</f>
        <v>62</v>
      </c>
      <c r="Q12" s="8" t="n">
        <f aca="false">P12/SQRT(M12)</f>
        <v>29.227080289044</v>
      </c>
      <c r="R12" s="7" t="n">
        <f aca="false">RANK(Q12,$Q$5:$Q$29)+COUNTIF($Q$5:Q12,Q12)-1</f>
        <v>1</v>
      </c>
      <c r="S12" s="13" t="n">
        <v>0</v>
      </c>
      <c r="T12" s="7" t="s">
        <v>3530</v>
      </c>
    </row>
    <row r="13" customFormat="false" ht="35.05" hidden="false" customHeight="false" outlineLevel="0" collapsed="false">
      <c r="A13" s="7" t="s">
        <v>3531</v>
      </c>
      <c r="B13" s="7" t="s">
        <v>3507</v>
      </c>
      <c r="C13" s="7" t="s">
        <v>594</v>
      </c>
      <c r="D13" s="7" t="s">
        <v>3168</v>
      </c>
      <c r="E13" s="7" t="s">
        <v>3532</v>
      </c>
      <c r="F13" s="7" t="s">
        <v>3255</v>
      </c>
      <c r="G13" s="7" t="n">
        <v>12</v>
      </c>
      <c r="H13" s="8" t="n">
        <v>3.7</v>
      </c>
      <c r="I13" s="7"/>
      <c r="J13" s="7" t="s">
        <v>3264</v>
      </c>
      <c r="K13" s="7" t="s">
        <v>3260</v>
      </c>
      <c r="L13" s="7" t="s">
        <v>3265</v>
      </c>
      <c r="M13" s="25" t="n">
        <f aca="false">MAX(1,ROUND(2*(INDEX(RISCO_PARAMETROS!$B$19:$B$22,MATCH(D13,RISCO_PARAMETROS!$A$19:$A$22,0))+INDEX(RISCO_PARAMETROS!$C$19:$C$22,MATCH(D13,RISCO_PARAMETROS!$A$19:$A$22,0))*G13),0)/2)</f>
        <v>5</v>
      </c>
      <c r="N13" s="7" t="n">
        <f aca="false">INDEX(RISCO_MATRIZ_17!$I$5:$I$21,MATCH(F13,RISCO_MATRIZ_17!$A$5:$A$21,0))</f>
        <v>12</v>
      </c>
      <c r="O13" s="8" t="n">
        <f aca="false">IF(B13="ISO",0,H13*(1-IFERROR(INDEX(SIM_PROETICA!$D$6:$D$15,MATCH(C13,SIM_PROETICA!$B$6:$B$15,0)),0)))</f>
        <v>3.7</v>
      </c>
      <c r="P13" s="25" t="n">
        <f aca="false">50*MIN(1,N13/25)+30*MIN(1,O13/6)</f>
        <v>42.5</v>
      </c>
      <c r="Q13" s="8" t="n">
        <f aca="false">P13/SQRT(M13)</f>
        <v>19.0065778087482</v>
      </c>
      <c r="R13" s="7" t="n">
        <f aca="false">RANK(Q13,$Q$5:$Q$29)+COUNTIF($Q$5:Q13,Q13)-1</f>
        <v>15</v>
      </c>
      <c r="S13" s="13" t="n">
        <v>0</v>
      </c>
      <c r="T13" s="7" t="s">
        <v>3533</v>
      </c>
    </row>
    <row r="14" customFormat="false" ht="57.45" hidden="false" customHeight="false" outlineLevel="0" collapsed="false">
      <c r="A14" s="7" t="s">
        <v>3534</v>
      </c>
      <c r="B14" s="7" t="s">
        <v>3507</v>
      </c>
      <c r="C14" s="7" t="s">
        <v>594</v>
      </c>
      <c r="D14" s="7" t="s">
        <v>619</v>
      </c>
      <c r="E14" s="7" t="s">
        <v>3535</v>
      </c>
      <c r="F14" s="7" t="s">
        <v>3255</v>
      </c>
      <c r="G14" s="7" t="n">
        <v>20</v>
      </c>
      <c r="H14" s="8" t="n">
        <v>7.3</v>
      </c>
      <c r="I14" s="7" t="s">
        <v>3531</v>
      </c>
      <c r="J14" s="7" t="s">
        <v>3264</v>
      </c>
      <c r="K14" s="7" t="s">
        <v>3260</v>
      </c>
      <c r="L14" s="7" t="s">
        <v>3265</v>
      </c>
      <c r="M14" s="25" t="n">
        <f aca="false">MAX(1,ROUND(2*(INDEX(RISCO_PARAMETROS!$B$19:$B$22,MATCH(D14,RISCO_PARAMETROS!$A$19:$A$22,0))+INDEX(RISCO_PARAMETROS!$C$19:$C$22,MATCH(D14,RISCO_PARAMETROS!$A$19:$A$22,0))*G14),0)/2)</f>
        <v>11</v>
      </c>
      <c r="N14" s="7" t="n">
        <f aca="false">INDEX(RISCO_MATRIZ_17!$I$5:$I$21,MATCH(F14,RISCO_MATRIZ_17!$A$5:$A$21,0))</f>
        <v>12</v>
      </c>
      <c r="O14" s="8" t="n">
        <f aca="false">IF(B14="ISO",0,H14*(1-IFERROR(INDEX(SIM_PROETICA!$D$6:$D$15,MATCH(C14,SIM_PROETICA!$B$6:$B$15,0)),0)))</f>
        <v>7.3</v>
      </c>
      <c r="P14" s="25" t="n">
        <f aca="false">50*MIN(1,N14/25)+30*MIN(1,O14/6)</f>
        <v>54</v>
      </c>
      <c r="Q14" s="8" t="n">
        <f aca="false">P14/SQRT(M14)</f>
        <v>16.2816126071992</v>
      </c>
      <c r="R14" s="7" t="n">
        <f aca="false">RANK(Q14,$Q$5:$Q$29)+COUNTIF($Q$5:Q14,Q14)-1</f>
        <v>18</v>
      </c>
      <c r="S14" s="13" t="n">
        <v>0</v>
      </c>
      <c r="T14" s="7" t="s">
        <v>3536</v>
      </c>
    </row>
    <row r="15" customFormat="false" ht="35.05" hidden="false" customHeight="false" outlineLevel="0" collapsed="false">
      <c r="A15" s="7" t="s">
        <v>3537</v>
      </c>
      <c r="B15" s="7" t="s">
        <v>3507</v>
      </c>
      <c r="C15" s="7" t="s">
        <v>1184</v>
      </c>
      <c r="D15" s="7" t="s">
        <v>3168</v>
      </c>
      <c r="E15" s="7" t="s">
        <v>3538</v>
      </c>
      <c r="F15" s="7" t="s">
        <v>3296</v>
      </c>
      <c r="G15" s="7" t="n">
        <v>6</v>
      </c>
      <c r="H15" s="8" t="n">
        <v>3.1</v>
      </c>
      <c r="I15" s="7"/>
      <c r="J15" s="7" t="s">
        <v>3305</v>
      </c>
      <c r="K15" s="7" t="s">
        <v>3302</v>
      </c>
      <c r="L15" s="7" t="s">
        <v>3306</v>
      </c>
      <c r="M15" s="25" t="n">
        <f aca="false">MAX(1,ROUND(2*(INDEX(RISCO_PARAMETROS!$B$19:$B$22,MATCH(D15,RISCO_PARAMETROS!$A$19:$A$22,0))+INDEX(RISCO_PARAMETROS!$C$19:$C$22,MATCH(D15,RISCO_PARAMETROS!$A$19:$A$22,0))*G15),0)/2)</f>
        <v>3.5</v>
      </c>
      <c r="N15" s="7" t="n">
        <f aca="false">INDEX(RISCO_MATRIZ_17!$I$5:$I$21,MATCH(F15,RISCO_MATRIZ_17!$A$5:$A$21,0))</f>
        <v>15</v>
      </c>
      <c r="O15" s="8" t="n">
        <f aca="false">IF(B15="ISO",0,H15*(1-IFERROR(INDEX(SIM_PROETICA!$D$6:$D$15,MATCH(C15,SIM_PROETICA!$B$6:$B$15,0)),0)))</f>
        <v>3.1</v>
      </c>
      <c r="P15" s="25" t="n">
        <f aca="false">50*MIN(1,N15/25)+30*MIN(1,O15/6)</f>
        <v>45.5</v>
      </c>
      <c r="Q15" s="8" t="n">
        <f aca="false">P15/SQRT(M15)</f>
        <v>24.3207730140306</v>
      </c>
      <c r="R15" s="7" t="n">
        <f aca="false">RANK(Q15,$Q$5:$Q$29)+COUNTIF($Q$5:Q15,Q15)-1</f>
        <v>8</v>
      </c>
      <c r="S15" s="13" t="n">
        <v>0</v>
      </c>
      <c r="T15" s="7" t="s">
        <v>3539</v>
      </c>
    </row>
    <row r="16" customFormat="false" ht="35.05" hidden="false" customHeight="false" outlineLevel="0" collapsed="false">
      <c r="A16" s="7" t="s">
        <v>3540</v>
      </c>
      <c r="B16" s="7" t="s">
        <v>3507</v>
      </c>
      <c r="C16" s="7" t="s">
        <v>1184</v>
      </c>
      <c r="D16" s="7" t="s">
        <v>619</v>
      </c>
      <c r="E16" s="7" t="s">
        <v>3541</v>
      </c>
      <c r="F16" s="7" t="s">
        <v>3296</v>
      </c>
      <c r="G16" s="7" t="n">
        <v>5</v>
      </c>
      <c r="H16" s="8" t="n">
        <v>2.9</v>
      </c>
      <c r="I16" s="7" t="s">
        <v>3537</v>
      </c>
      <c r="J16" s="7" t="s">
        <v>3305</v>
      </c>
      <c r="K16" s="7" t="s">
        <v>3302</v>
      </c>
      <c r="L16" s="7" t="s">
        <v>3306</v>
      </c>
      <c r="M16" s="25" t="n">
        <f aca="false">MAX(1,ROUND(2*(INDEX(RISCO_PARAMETROS!$B$19:$B$22,MATCH(D16,RISCO_PARAMETROS!$A$19:$A$22,0))+INDEX(RISCO_PARAMETROS!$C$19:$C$22,MATCH(D16,RISCO_PARAMETROS!$A$19:$A$22,0))*G16),0)/2)</f>
        <v>5</v>
      </c>
      <c r="N16" s="7" t="n">
        <f aca="false">INDEX(RISCO_MATRIZ_17!$I$5:$I$21,MATCH(F16,RISCO_MATRIZ_17!$A$5:$A$21,0))</f>
        <v>15</v>
      </c>
      <c r="O16" s="8" t="n">
        <f aca="false">IF(B16="ISO",0,H16*(1-IFERROR(INDEX(SIM_PROETICA!$D$6:$D$15,MATCH(C16,SIM_PROETICA!$B$6:$B$15,0)),0)))</f>
        <v>2.9</v>
      </c>
      <c r="P16" s="25" t="n">
        <f aca="false">50*MIN(1,N16/25)+30*MIN(1,O16/6)</f>
        <v>44.5</v>
      </c>
      <c r="Q16" s="8" t="n">
        <f aca="false">P16/SQRT(M16)</f>
        <v>19.9010049997481</v>
      </c>
      <c r="R16" s="7" t="n">
        <f aca="false">RANK(Q16,$Q$5:$Q$29)+COUNTIF($Q$5:Q16,Q16)-1</f>
        <v>14</v>
      </c>
      <c r="S16" s="13" t="n">
        <v>0</v>
      </c>
      <c r="T16" s="7" t="s">
        <v>3114</v>
      </c>
    </row>
    <row r="17" customFormat="false" ht="68.65" hidden="false" customHeight="false" outlineLevel="0" collapsed="false">
      <c r="A17" s="7" t="s">
        <v>3542</v>
      </c>
      <c r="B17" s="7" t="s">
        <v>3507</v>
      </c>
      <c r="C17" s="7" t="s">
        <v>613</v>
      </c>
      <c r="D17" s="7" t="s">
        <v>3168</v>
      </c>
      <c r="E17" s="7" t="s">
        <v>3543</v>
      </c>
      <c r="F17" s="7" t="s">
        <v>3268</v>
      </c>
      <c r="G17" s="7" t="n">
        <v>25</v>
      </c>
      <c r="H17" s="8" t="n">
        <v>6.4</v>
      </c>
      <c r="I17" s="7"/>
      <c r="J17" s="7" t="s">
        <v>3278</v>
      </c>
      <c r="K17" s="7" t="s">
        <v>3274</v>
      </c>
      <c r="L17" s="7" t="s">
        <v>3279</v>
      </c>
      <c r="M17" s="25" t="n">
        <f aca="false">MAX(1,ROUND(2*(INDEX(RISCO_PARAMETROS!$B$19:$B$22,MATCH(D17,RISCO_PARAMETROS!$A$19:$A$22,0))+INDEX(RISCO_PARAMETROS!$C$19:$C$22,MATCH(D17,RISCO_PARAMETROS!$A$19:$A$22,0))*G17),0)/2)</f>
        <v>8.5</v>
      </c>
      <c r="N17" s="7" t="n">
        <f aca="false">INDEX(RISCO_MATRIZ_17!$I$5:$I$21,MATCH(F17,RISCO_MATRIZ_17!$A$5:$A$21,0))</f>
        <v>20</v>
      </c>
      <c r="O17" s="8" t="n">
        <f aca="false">IF(B17="ISO",0,H17*(1-IFERROR(INDEX(SIM_PROETICA!$D$6:$D$15,MATCH(C17,SIM_PROETICA!$B$6:$B$15,0)),0)))</f>
        <v>6.4</v>
      </c>
      <c r="P17" s="25" t="n">
        <f aca="false">50*MIN(1,N17/25)+30*MIN(1,O17/6)</f>
        <v>70</v>
      </c>
      <c r="Q17" s="8" t="n">
        <f aca="false">P17/SQRT(M17)</f>
        <v>24.0098019199512</v>
      </c>
      <c r="R17" s="7" t="n">
        <f aca="false">RANK(Q17,$Q$5:$Q$29)+COUNTIF($Q$5:Q17,Q17)-1</f>
        <v>9</v>
      </c>
      <c r="S17" s="13" t="n">
        <v>0</v>
      </c>
      <c r="T17" s="7" t="s">
        <v>3544</v>
      </c>
    </row>
    <row r="18" customFormat="false" ht="46.25" hidden="false" customHeight="false" outlineLevel="0" collapsed="false">
      <c r="A18" s="7" t="s">
        <v>3545</v>
      </c>
      <c r="B18" s="7" t="s">
        <v>3507</v>
      </c>
      <c r="C18" s="7" t="s">
        <v>613</v>
      </c>
      <c r="D18" s="7" t="s">
        <v>619</v>
      </c>
      <c r="E18" s="7" t="s">
        <v>3546</v>
      </c>
      <c r="F18" s="7" t="s">
        <v>3268</v>
      </c>
      <c r="G18" s="7" t="n">
        <v>4</v>
      </c>
      <c r="H18" s="8" t="n">
        <v>2.6</v>
      </c>
      <c r="I18" s="7" t="s">
        <v>3542</v>
      </c>
      <c r="J18" s="7" t="s">
        <v>3278</v>
      </c>
      <c r="K18" s="7" t="s">
        <v>3274</v>
      </c>
      <c r="L18" s="7" t="s">
        <v>3279</v>
      </c>
      <c r="M18" s="25" t="n">
        <f aca="false">MAX(1,ROUND(2*(INDEX(RISCO_PARAMETROS!$B$19:$B$22,MATCH(D18,RISCO_PARAMETROS!$A$19:$A$22,0))+INDEX(RISCO_PARAMETROS!$C$19:$C$22,MATCH(D18,RISCO_PARAMETROS!$A$19:$A$22,0))*G18),0)/2)</f>
        <v>4.5</v>
      </c>
      <c r="N18" s="7" t="n">
        <f aca="false">INDEX(RISCO_MATRIZ_17!$I$5:$I$21,MATCH(F18,RISCO_MATRIZ_17!$A$5:$A$21,0))</f>
        <v>20</v>
      </c>
      <c r="O18" s="8" t="n">
        <f aca="false">IF(B18="ISO",0,H18*(1-IFERROR(INDEX(SIM_PROETICA!$D$6:$D$15,MATCH(C18,SIM_PROETICA!$B$6:$B$15,0)),0)))</f>
        <v>2.6</v>
      </c>
      <c r="P18" s="25" t="n">
        <f aca="false">50*MIN(1,N18/25)+30*MIN(1,O18/6)</f>
        <v>53</v>
      </c>
      <c r="Q18" s="8" t="n">
        <f aca="false">P18/SQRT(M18)</f>
        <v>24.9844396019247</v>
      </c>
      <c r="R18" s="7" t="n">
        <f aca="false">RANK(Q18,$Q$5:$Q$29)+COUNTIF($Q$5:Q18,Q18)-1</f>
        <v>7</v>
      </c>
      <c r="S18" s="13" t="n">
        <v>0</v>
      </c>
      <c r="T18" s="7" t="s">
        <v>3547</v>
      </c>
    </row>
    <row r="19" customFormat="false" ht="57.45" hidden="false" customHeight="false" outlineLevel="0" collapsed="false">
      <c r="A19" s="7" t="s">
        <v>3548</v>
      </c>
      <c r="B19" s="7" t="s">
        <v>3507</v>
      </c>
      <c r="C19" s="7" t="s">
        <v>1207</v>
      </c>
      <c r="D19" s="7" t="s">
        <v>3168</v>
      </c>
      <c r="E19" s="7" t="s">
        <v>3549</v>
      </c>
      <c r="F19" s="7" t="s">
        <v>3309</v>
      </c>
      <c r="G19" s="7" t="n">
        <v>22</v>
      </c>
      <c r="H19" s="8" t="n">
        <v>6.3</v>
      </c>
      <c r="I19" s="7"/>
      <c r="J19" s="7" t="s">
        <v>3318</v>
      </c>
      <c r="K19" s="7" t="s">
        <v>3314</v>
      </c>
      <c r="L19" s="7" t="s">
        <v>3319</v>
      </c>
      <c r="M19" s="25" t="n">
        <f aca="false">MAX(1,ROUND(2*(INDEX(RISCO_PARAMETROS!$B$19:$B$22,MATCH(D19,RISCO_PARAMETROS!$A$19:$A$22,0))+INDEX(RISCO_PARAMETROS!$C$19:$C$22,MATCH(D19,RISCO_PARAMETROS!$A$19:$A$22,0))*G19),0)/2)</f>
        <v>7.5</v>
      </c>
      <c r="N19" s="7" t="n">
        <f aca="false">INDEX(RISCO_MATRIZ_17!$I$5:$I$21,MATCH(F19,RISCO_MATRIZ_17!$A$5:$A$21,0))</f>
        <v>20</v>
      </c>
      <c r="O19" s="8" t="n">
        <f aca="false">IF(B19="ISO",0,H19*(1-IFERROR(INDEX(SIM_PROETICA!$D$6:$D$15,MATCH(C19,SIM_PROETICA!$B$6:$B$15,0)),0)))</f>
        <v>6.3</v>
      </c>
      <c r="P19" s="25" t="n">
        <f aca="false">50*MIN(1,N19/25)+30*MIN(1,O19/6)</f>
        <v>70</v>
      </c>
      <c r="Q19" s="8" t="n">
        <f aca="false">P19/SQRT(M19)</f>
        <v>25.5603860169078</v>
      </c>
      <c r="R19" s="7" t="n">
        <f aca="false">RANK(Q19,$Q$5:$Q$29)+COUNTIF($Q$5:Q19,Q19)-1</f>
        <v>5</v>
      </c>
      <c r="S19" s="13" t="n">
        <v>0</v>
      </c>
      <c r="T19" s="7" t="s">
        <v>3550</v>
      </c>
    </row>
    <row r="20" customFormat="false" ht="46.25" hidden="false" customHeight="false" outlineLevel="0" collapsed="false">
      <c r="A20" s="7" t="s">
        <v>3551</v>
      </c>
      <c r="B20" s="7" t="s">
        <v>3507</v>
      </c>
      <c r="C20" s="7" t="s">
        <v>1207</v>
      </c>
      <c r="D20" s="7" t="s">
        <v>619</v>
      </c>
      <c r="E20" s="7" t="s">
        <v>3552</v>
      </c>
      <c r="F20" s="7" t="s">
        <v>3309</v>
      </c>
      <c r="G20" s="7" t="n">
        <v>4</v>
      </c>
      <c r="H20" s="8" t="n">
        <v>2.7</v>
      </c>
      <c r="I20" s="7" t="s">
        <v>3548</v>
      </c>
      <c r="J20" s="7" t="s">
        <v>3318</v>
      </c>
      <c r="K20" s="7" t="s">
        <v>3314</v>
      </c>
      <c r="L20" s="7" t="s">
        <v>3319</v>
      </c>
      <c r="M20" s="25" t="n">
        <f aca="false">MAX(1,ROUND(2*(INDEX(RISCO_PARAMETROS!$B$19:$B$22,MATCH(D20,RISCO_PARAMETROS!$A$19:$A$22,0))+INDEX(RISCO_PARAMETROS!$C$19:$C$22,MATCH(D20,RISCO_PARAMETROS!$A$19:$A$22,0))*G20),0)/2)</f>
        <v>4.5</v>
      </c>
      <c r="N20" s="7" t="n">
        <f aca="false">INDEX(RISCO_MATRIZ_17!$I$5:$I$21,MATCH(F20,RISCO_MATRIZ_17!$A$5:$A$21,0))</f>
        <v>20</v>
      </c>
      <c r="O20" s="8" t="n">
        <f aca="false">IF(B20="ISO",0,H20*(1-IFERROR(INDEX(SIM_PROETICA!$D$6:$D$15,MATCH(C20,SIM_PROETICA!$B$6:$B$15,0)),0)))</f>
        <v>2.7</v>
      </c>
      <c r="P20" s="25" t="n">
        <f aca="false">50*MIN(1,N20/25)+30*MIN(1,O20/6)</f>
        <v>53.5</v>
      </c>
      <c r="Q20" s="8" t="n">
        <f aca="false">P20/SQRT(M20)</f>
        <v>25.2201418623202</v>
      </c>
      <c r="R20" s="7" t="n">
        <f aca="false">RANK(Q20,$Q$5:$Q$29)+COUNTIF($Q$5:Q20,Q20)-1</f>
        <v>6</v>
      </c>
      <c r="S20" s="13" t="n">
        <v>0</v>
      </c>
      <c r="T20" s="7" t="s">
        <v>3553</v>
      </c>
    </row>
    <row r="21" customFormat="false" ht="23.85" hidden="false" customHeight="false" outlineLevel="0" collapsed="false">
      <c r="A21" s="7" t="s">
        <v>3554</v>
      </c>
      <c r="B21" s="7" t="s">
        <v>3507</v>
      </c>
      <c r="C21" s="7" t="s">
        <v>1279</v>
      </c>
      <c r="D21" s="7" t="s">
        <v>619</v>
      </c>
      <c r="E21" s="7" t="s">
        <v>3555</v>
      </c>
      <c r="F21" s="7" t="s">
        <v>3322</v>
      </c>
      <c r="G21" s="7" t="n">
        <v>9</v>
      </c>
      <c r="H21" s="8" t="n">
        <v>5</v>
      </c>
      <c r="I21" s="7"/>
      <c r="J21" s="7" t="s">
        <v>3331</v>
      </c>
      <c r="K21" s="7" t="s">
        <v>3327</v>
      </c>
      <c r="L21" s="7" t="s">
        <v>3238</v>
      </c>
      <c r="M21" s="25" t="n">
        <f aca="false">MAX(1,ROUND(2*(INDEX(RISCO_PARAMETROS!$B$19:$B$22,MATCH(D21,RISCO_PARAMETROS!$A$19:$A$22,0))+INDEX(RISCO_PARAMETROS!$C$19:$C$22,MATCH(D21,RISCO_PARAMETROS!$A$19:$A$22,0))*G21),0)/2)</f>
        <v>6.5</v>
      </c>
      <c r="N21" s="7" t="n">
        <f aca="false">INDEX(RISCO_MATRIZ_17!$I$5:$I$21,MATCH(F21,RISCO_MATRIZ_17!$A$5:$A$21,0))</f>
        <v>9</v>
      </c>
      <c r="O21" s="8" t="n">
        <f aca="false">IF(B21="ISO",0,H21*(1-IFERROR(INDEX(SIM_PROETICA!$D$6:$D$15,MATCH(C21,SIM_PROETICA!$B$6:$B$15,0)),0)))</f>
        <v>5</v>
      </c>
      <c r="P21" s="25" t="n">
        <f aca="false">50*MIN(1,N21/25)+30*MIN(1,O21/6)</f>
        <v>43</v>
      </c>
      <c r="Q21" s="8" t="n">
        <f aca="false">P21/SQRT(M21)</f>
        <v>16.8659876218838</v>
      </c>
      <c r="R21" s="7" t="n">
        <f aca="false">RANK(Q21,$Q$5:$Q$29)+COUNTIF($Q$5:Q21,Q21)-1</f>
        <v>17</v>
      </c>
      <c r="S21" s="13" t="n">
        <v>0</v>
      </c>
      <c r="T21" s="7" t="s">
        <v>3556</v>
      </c>
    </row>
    <row r="22" customFormat="false" ht="46.25" hidden="false" customHeight="false" outlineLevel="0" collapsed="false">
      <c r="A22" s="7" t="s">
        <v>3557</v>
      </c>
      <c r="B22" s="7" t="s">
        <v>3507</v>
      </c>
      <c r="C22" s="7" t="s">
        <v>623</v>
      </c>
      <c r="D22" s="7" t="s">
        <v>3171</v>
      </c>
      <c r="E22" s="7" t="s">
        <v>3558</v>
      </c>
      <c r="F22" s="7" t="s">
        <v>3282</v>
      </c>
      <c r="G22" s="7" t="n">
        <v>17</v>
      </c>
      <c r="H22" s="8" t="n">
        <v>5</v>
      </c>
      <c r="I22" s="7"/>
      <c r="J22" s="7" t="s">
        <v>3292</v>
      </c>
      <c r="K22" s="7" t="s">
        <v>3288</v>
      </c>
      <c r="L22" s="7" t="s">
        <v>3293</v>
      </c>
      <c r="M22" s="25" t="n">
        <f aca="false">MAX(1,ROUND(2*(INDEX(RISCO_PARAMETROS!$B$19:$B$22,MATCH(D22,RISCO_PARAMETROS!$A$19:$A$22,0))+INDEX(RISCO_PARAMETROS!$C$19:$C$22,MATCH(D22,RISCO_PARAMETROS!$A$19:$A$22,0))*G22),0)/2)</f>
        <v>5</v>
      </c>
      <c r="N22" s="7" t="n">
        <f aca="false">INDEX(RISCO_MATRIZ_17!$I$5:$I$21,MATCH(F22,RISCO_MATRIZ_17!$A$5:$A$21,0))</f>
        <v>12</v>
      </c>
      <c r="O22" s="8" t="n">
        <f aca="false">IF(B22="ISO",0,H22*(1-IFERROR(INDEX(SIM_PROETICA!$D$6:$D$15,MATCH(C22,SIM_PROETICA!$B$6:$B$15,0)),0)))</f>
        <v>5</v>
      </c>
      <c r="P22" s="25" t="n">
        <f aca="false">50*MIN(1,N22/25)+30*MIN(1,O22/6)</f>
        <v>49</v>
      </c>
      <c r="Q22" s="8" t="n">
        <f aca="false">P22/SQRT(M22)</f>
        <v>21.9134661794979</v>
      </c>
      <c r="R22" s="7" t="n">
        <f aca="false">RANK(Q22,$Q$5:$Q$29)+COUNTIF($Q$5:Q22,Q22)-1</f>
        <v>12</v>
      </c>
      <c r="S22" s="13" t="n">
        <v>0</v>
      </c>
      <c r="T22" s="7" t="s">
        <v>3559</v>
      </c>
    </row>
    <row r="23" customFormat="false" ht="35.05" hidden="false" customHeight="false" outlineLevel="0" collapsed="false">
      <c r="A23" s="7" t="s">
        <v>3560</v>
      </c>
      <c r="B23" s="7" t="s">
        <v>2530</v>
      </c>
      <c r="C23" s="7" t="s">
        <v>2032</v>
      </c>
      <c r="D23" s="7" t="s">
        <v>560</v>
      </c>
      <c r="E23" s="7" t="s">
        <v>3561</v>
      </c>
      <c r="F23" s="7" t="s">
        <v>3334</v>
      </c>
      <c r="G23" s="7" t="n">
        <v>7</v>
      </c>
      <c r="H23" s="8" t="n">
        <v>0</v>
      </c>
      <c r="I23" s="7"/>
      <c r="J23" s="7" t="s">
        <v>3344</v>
      </c>
      <c r="K23" s="7" t="s">
        <v>3341</v>
      </c>
      <c r="L23" s="7" t="s">
        <v>3345</v>
      </c>
      <c r="M23" s="25" t="n">
        <f aca="false">MAX(1,ROUND(2*(INDEX(RISCO_PARAMETROS!$B$19:$B$22,MATCH(D23,RISCO_PARAMETROS!$A$19:$A$22,0))+INDEX(RISCO_PARAMETROS!$C$19:$C$22,MATCH(D23,RISCO_PARAMETROS!$A$19:$A$22,0))*G23),0)/2)</f>
        <v>5</v>
      </c>
      <c r="N23" s="7" t="n">
        <f aca="false">INDEX(RISCO_MATRIZ_17!$I$5:$I$21,MATCH(F23,RISCO_MATRIZ_17!$A$5:$A$21,0))</f>
        <v>12</v>
      </c>
      <c r="O23" s="8" t="n">
        <f aca="false">IF(B23="ISO",0,H23*(1-IFERROR(INDEX(SIM_PROETICA!$D$6:$D$15,MATCH(C23,SIM_PROETICA!$B$6:$B$15,0)),0)))</f>
        <v>0</v>
      </c>
      <c r="P23" s="25" t="n">
        <f aca="false">50*MIN(1,N23/25)+30*MIN(1,O23/6)</f>
        <v>24</v>
      </c>
      <c r="Q23" s="8" t="n">
        <f aca="false">P23/SQRT(M23)</f>
        <v>10.733126291999</v>
      </c>
      <c r="R23" s="7" t="n">
        <f aca="false">RANK(Q23,$Q$5:$Q$29)+COUNTIF($Q$5:Q23,Q23)-1</f>
        <v>19</v>
      </c>
      <c r="S23" s="13" t="n">
        <v>0</v>
      </c>
      <c r="T23" s="7" t="s">
        <v>3562</v>
      </c>
    </row>
    <row r="24" customFormat="false" ht="35.05" hidden="false" customHeight="false" outlineLevel="0" collapsed="false">
      <c r="A24" s="7" t="s">
        <v>3563</v>
      </c>
      <c r="B24" s="7" t="s">
        <v>2530</v>
      </c>
      <c r="C24" s="7" t="s">
        <v>2078</v>
      </c>
      <c r="D24" s="7" t="s">
        <v>560</v>
      </c>
      <c r="E24" s="7" t="s">
        <v>3564</v>
      </c>
      <c r="F24" s="7" t="s">
        <v>3348</v>
      </c>
      <c r="G24" s="7" t="n">
        <v>9</v>
      </c>
      <c r="H24" s="8" t="n">
        <v>0</v>
      </c>
      <c r="I24" s="7"/>
      <c r="J24" s="7" t="s">
        <v>3356</v>
      </c>
      <c r="K24" s="7" t="s">
        <v>3353</v>
      </c>
      <c r="L24" s="7" t="s">
        <v>3345</v>
      </c>
      <c r="M24" s="25" t="n">
        <f aca="false">MAX(1,ROUND(2*(INDEX(RISCO_PARAMETROS!$B$19:$B$22,MATCH(D24,RISCO_PARAMETROS!$A$19:$A$22,0))+INDEX(RISCO_PARAMETROS!$C$19:$C$22,MATCH(D24,RISCO_PARAMETROS!$A$19:$A$22,0))*G24),0)/2)</f>
        <v>5.5</v>
      </c>
      <c r="N24" s="7" t="n">
        <f aca="false">INDEX(RISCO_MATRIZ_17!$I$5:$I$21,MATCH(F24,RISCO_MATRIZ_17!$A$5:$A$21,0))</f>
        <v>10</v>
      </c>
      <c r="O24" s="8" t="n">
        <f aca="false">IF(B24="ISO",0,H24*(1-IFERROR(INDEX(SIM_PROETICA!$D$6:$D$15,MATCH(C24,SIM_PROETICA!$B$6:$B$15,0)),0)))</f>
        <v>0</v>
      </c>
      <c r="P24" s="25" t="n">
        <f aca="false">50*MIN(1,N24/25)+30*MIN(1,O24/6)</f>
        <v>20</v>
      </c>
      <c r="Q24" s="8" t="n">
        <f aca="false">P24/SQRT(M24)</f>
        <v>8.52802865422442</v>
      </c>
      <c r="R24" s="7" t="n">
        <f aca="false">RANK(Q24,$Q$5:$Q$29)+COUNTIF($Q$5:Q24,Q24)-1</f>
        <v>23</v>
      </c>
      <c r="S24" s="13" t="n">
        <v>0</v>
      </c>
      <c r="T24" s="7" t="s">
        <v>3565</v>
      </c>
    </row>
    <row r="25" customFormat="false" ht="35.05" hidden="false" customHeight="false" outlineLevel="0" collapsed="false">
      <c r="A25" s="7" t="s">
        <v>3566</v>
      </c>
      <c r="B25" s="7" t="s">
        <v>2530</v>
      </c>
      <c r="C25" s="7" t="s">
        <v>2115</v>
      </c>
      <c r="D25" s="7" t="s">
        <v>560</v>
      </c>
      <c r="E25" s="7" t="s">
        <v>3364</v>
      </c>
      <c r="F25" s="7" t="s">
        <v>3359</v>
      </c>
      <c r="G25" s="7" t="n">
        <v>3</v>
      </c>
      <c r="H25" s="8" t="n">
        <v>0</v>
      </c>
      <c r="I25" s="7"/>
      <c r="J25" s="7" t="s">
        <v>3368</v>
      </c>
      <c r="K25" s="7" t="s">
        <v>3365</v>
      </c>
      <c r="L25" s="7" t="s">
        <v>3369</v>
      </c>
      <c r="M25" s="25" t="n">
        <f aca="false">MAX(1,ROUND(2*(INDEX(RISCO_PARAMETROS!$B$19:$B$22,MATCH(D25,RISCO_PARAMETROS!$A$19:$A$22,0))+INDEX(RISCO_PARAMETROS!$C$19:$C$22,MATCH(D25,RISCO_PARAMETROS!$A$19:$A$22,0))*G25),0)/2)</f>
        <v>4</v>
      </c>
      <c r="N25" s="7" t="n">
        <f aca="false">INDEX(RISCO_MATRIZ_17!$I$5:$I$21,MATCH(F25,RISCO_MATRIZ_17!$A$5:$A$21,0))</f>
        <v>9</v>
      </c>
      <c r="O25" s="8" t="n">
        <f aca="false">IF(B25="ISO",0,H25*(1-IFERROR(INDEX(SIM_PROETICA!$D$6:$D$15,MATCH(C25,SIM_PROETICA!$B$6:$B$15,0)),0)))</f>
        <v>0</v>
      </c>
      <c r="P25" s="25" t="n">
        <f aca="false">50*MIN(1,N25/25)+30*MIN(1,O25/6)</f>
        <v>18</v>
      </c>
      <c r="Q25" s="8" t="n">
        <f aca="false">P25/SQRT(M25)</f>
        <v>9</v>
      </c>
      <c r="R25" s="7" t="n">
        <f aca="false">RANK(Q25,$Q$5:$Q$29)+COUNTIF($Q$5:Q25,Q25)-1</f>
        <v>22</v>
      </c>
      <c r="S25" s="13" t="n">
        <v>0</v>
      </c>
      <c r="T25" s="7" t="s">
        <v>3567</v>
      </c>
    </row>
    <row r="26" customFormat="false" ht="35.05" hidden="false" customHeight="false" outlineLevel="0" collapsed="false">
      <c r="A26" s="7" t="s">
        <v>3568</v>
      </c>
      <c r="B26" s="7" t="s">
        <v>2530</v>
      </c>
      <c r="C26" s="7" t="s">
        <v>2137</v>
      </c>
      <c r="D26" s="7" t="s">
        <v>560</v>
      </c>
      <c r="E26" s="7" t="s">
        <v>3569</v>
      </c>
      <c r="F26" s="7" t="s">
        <v>3372</v>
      </c>
      <c r="G26" s="7" t="n">
        <v>10</v>
      </c>
      <c r="H26" s="8" t="n">
        <v>0</v>
      </c>
      <c r="I26" s="7"/>
      <c r="J26" s="7" t="s">
        <v>3381</v>
      </c>
      <c r="K26" s="7" t="s">
        <v>3378</v>
      </c>
      <c r="L26" s="7" t="s">
        <v>3265</v>
      </c>
      <c r="M26" s="25" t="n">
        <f aca="false">MAX(1,ROUND(2*(INDEX(RISCO_PARAMETROS!$B$19:$B$22,MATCH(D26,RISCO_PARAMETROS!$A$19:$A$22,0))+INDEX(RISCO_PARAMETROS!$C$19:$C$22,MATCH(D26,RISCO_PARAMETROS!$A$19:$A$22,0))*G26),0)/2)</f>
        <v>6</v>
      </c>
      <c r="N26" s="7" t="n">
        <f aca="false">INDEX(RISCO_MATRIZ_17!$I$5:$I$21,MATCH(F26,RISCO_MATRIZ_17!$A$5:$A$21,0))</f>
        <v>9</v>
      </c>
      <c r="O26" s="8" t="n">
        <f aca="false">IF(B26="ISO",0,H26*(1-IFERROR(INDEX(SIM_PROETICA!$D$6:$D$15,MATCH(C26,SIM_PROETICA!$B$6:$B$15,0)),0)))</f>
        <v>0</v>
      </c>
      <c r="P26" s="25" t="n">
        <f aca="false">50*MIN(1,N26/25)+30*MIN(1,O26/6)</f>
        <v>18</v>
      </c>
      <c r="Q26" s="8" t="n">
        <f aca="false">P26/SQRT(M26)</f>
        <v>7.34846922834953</v>
      </c>
      <c r="R26" s="7" t="n">
        <f aca="false">RANK(Q26,$Q$5:$Q$29)+COUNTIF($Q$5:Q26,Q26)-1</f>
        <v>24</v>
      </c>
      <c r="S26" s="13" t="n">
        <v>0</v>
      </c>
      <c r="T26" s="7" t="s">
        <v>3570</v>
      </c>
    </row>
    <row r="27" customFormat="false" ht="35.05" hidden="false" customHeight="false" outlineLevel="0" collapsed="false">
      <c r="A27" s="7" t="s">
        <v>3571</v>
      </c>
      <c r="B27" s="7" t="s">
        <v>2530</v>
      </c>
      <c r="C27" s="7" t="s">
        <v>2186</v>
      </c>
      <c r="D27" s="7" t="s">
        <v>560</v>
      </c>
      <c r="E27" s="7" t="s">
        <v>3572</v>
      </c>
      <c r="F27" s="7" t="s">
        <v>3384</v>
      </c>
      <c r="G27" s="7" t="n">
        <v>11</v>
      </c>
      <c r="H27" s="8" t="n">
        <v>0</v>
      </c>
      <c r="I27" s="7"/>
      <c r="J27" s="7" t="s">
        <v>3394</v>
      </c>
      <c r="K27" s="7" t="s">
        <v>3390</v>
      </c>
      <c r="L27" s="7" t="s">
        <v>3345</v>
      </c>
      <c r="M27" s="25" t="n">
        <f aca="false">MAX(1,ROUND(2*(INDEX(RISCO_PARAMETROS!$B$19:$B$22,MATCH(D27,RISCO_PARAMETROS!$A$19:$A$22,0))+INDEX(RISCO_PARAMETROS!$C$19:$C$22,MATCH(D27,RISCO_PARAMETROS!$A$19:$A$22,0))*G27),0)/2)</f>
        <v>6.5</v>
      </c>
      <c r="N27" s="7" t="n">
        <f aca="false">INDEX(RISCO_MATRIZ_17!$I$5:$I$21,MATCH(F27,RISCO_MATRIZ_17!$A$5:$A$21,0))</f>
        <v>8</v>
      </c>
      <c r="O27" s="8" t="n">
        <f aca="false">IF(B27="ISO",0,H27*(1-IFERROR(INDEX(SIM_PROETICA!$D$6:$D$15,MATCH(C27,SIM_PROETICA!$B$6:$B$15,0)),0)))</f>
        <v>0</v>
      </c>
      <c r="P27" s="25" t="n">
        <f aca="false">50*MIN(1,N27/25)+30*MIN(1,O27/6)</f>
        <v>16</v>
      </c>
      <c r="Q27" s="8" t="n">
        <f aca="false">P27/SQRT(M27)</f>
        <v>6.27571632442189</v>
      </c>
      <c r="R27" s="7" t="n">
        <f aca="false">RANK(Q27,$Q$5:$Q$29)+COUNTIF($Q$5:Q27,Q27)-1</f>
        <v>25</v>
      </c>
      <c r="S27" s="13" t="n">
        <v>0</v>
      </c>
      <c r="T27" s="7" t="s">
        <v>3573</v>
      </c>
    </row>
    <row r="28" customFormat="false" ht="57.45" hidden="false" customHeight="false" outlineLevel="0" collapsed="false">
      <c r="A28" s="7" t="s">
        <v>3574</v>
      </c>
      <c r="B28" s="7" t="s">
        <v>2530</v>
      </c>
      <c r="C28" s="7" t="s">
        <v>2203</v>
      </c>
      <c r="D28" s="7" t="s">
        <v>560</v>
      </c>
      <c r="E28" s="7" t="s">
        <v>3575</v>
      </c>
      <c r="F28" s="7" t="s">
        <v>3397</v>
      </c>
      <c r="G28" s="7" t="n">
        <v>9</v>
      </c>
      <c r="H28" s="8" t="n">
        <v>0</v>
      </c>
      <c r="I28" s="7"/>
      <c r="J28" s="7" t="s">
        <v>3405</v>
      </c>
      <c r="K28" s="7" t="s">
        <v>3402</v>
      </c>
      <c r="L28" s="7" t="s">
        <v>3406</v>
      </c>
      <c r="M28" s="25" t="n">
        <f aca="false">MAX(1,ROUND(2*(INDEX(RISCO_PARAMETROS!$B$19:$B$22,MATCH(D28,RISCO_PARAMETROS!$A$19:$A$22,0))+INDEX(RISCO_PARAMETROS!$C$19:$C$22,MATCH(D28,RISCO_PARAMETROS!$A$19:$A$22,0))*G28),0)/2)</f>
        <v>5.5</v>
      </c>
      <c r="N28" s="7" t="n">
        <f aca="false">INDEX(RISCO_MATRIZ_17!$I$5:$I$21,MATCH(F28,RISCO_MATRIZ_17!$A$5:$A$21,0))</f>
        <v>12</v>
      </c>
      <c r="O28" s="8" t="n">
        <f aca="false">IF(B28="ISO",0,H28*(1-IFERROR(INDEX(SIM_PROETICA!$D$6:$D$15,MATCH(C28,SIM_PROETICA!$B$6:$B$15,0)),0)))</f>
        <v>0</v>
      </c>
      <c r="P28" s="25" t="n">
        <f aca="false">50*MIN(1,N28/25)+30*MIN(1,O28/6)</f>
        <v>24</v>
      </c>
      <c r="Q28" s="8" t="n">
        <f aca="false">P28/SQRT(M28)</f>
        <v>10.2336343850693</v>
      </c>
      <c r="R28" s="7" t="n">
        <f aca="false">RANK(Q28,$Q$5:$Q$29)+COUNTIF($Q$5:Q28,Q28)-1</f>
        <v>20</v>
      </c>
      <c r="S28" s="13" t="n">
        <v>0</v>
      </c>
      <c r="T28" s="7" t="s">
        <v>3576</v>
      </c>
    </row>
    <row r="29" customFormat="false" ht="35.05" hidden="false" customHeight="false" outlineLevel="0" collapsed="false">
      <c r="A29" s="7" t="s">
        <v>3577</v>
      </c>
      <c r="B29" s="7" t="s">
        <v>2530</v>
      </c>
      <c r="C29" s="7" t="s">
        <v>2248</v>
      </c>
      <c r="D29" s="7" t="s">
        <v>560</v>
      </c>
      <c r="E29" s="7" t="s">
        <v>3578</v>
      </c>
      <c r="F29" s="7" t="s">
        <v>3409</v>
      </c>
      <c r="G29" s="7" t="n">
        <v>2</v>
      </c>
      <c r="H29" s="8" t="n">
        <v>0</v>
      </c>
      <c r="I29" s="7"/>
      <c r="J29" s="7" t="s">
        <v>3344</v>
      </c>
      <c r="K29" s="7" t="s">
        <v>3414</v>
      </c>
      <c r="L29" s="7" t="s">
        <v>3418</v>
      </c>
      <c r="M29" s="25" t="n">
        <f aca="false">MAX(1,ROUND(2*(INDEX(RISCO_PARAMETROS!$B$19:$B$22,MATCH(D29,RISCO_PARAMETROS!$A$19:$A$22,0))+INDEX(RISCO_PARAMETROS!$C$19:$C$22,MATCH(D29,RISCO_PARAMETROS!$A$19:$A$22,0))*G29),0)/2)</f>
        <v>3.5</v>
      </c>
      <c r="N29" s="7" t="n">
        <f aca="false">INDEX(RISCO_MATRIZ_17!$I$5:$I$21,MATCH(F29,RISCO_MATRIZ_17!$A$5:$A$21,0))</f>
        <v>9</v>
      </c>
      <c r="O29" s="8" t="n">
        <f aca="false">IF(B29="ISO",0,H29*(1-IFERROR(INDEX(SIM_PROETICA!$D$6:$D$15,MATCH(C29,SIM_PROETICA!$B$6:$B$15,0)),0)))</f>
        <v>0</v>
      </c>
      <c r="P29" s="25" t="n">
        <f aca="false">50*MIN(1,N29/25)+30*MIN(1,O29/6)</f>
        <v>18</v>
      </c>
      <c r="Q29" s="8" t="n">
        <f aca="false">P29/SQRT(M29)</f>
        <v>9.62140470884728</v>
      </c>
      <c r="R29" s="7" t="n">
        <f aca="false">RANK(Q29,$Q$5:$Q$29)+COUNTIF($Q$5:Q29,Q29)-1</f>
        <v>21</v>
      </c>
      <c r="S29" s="13" t="n">
        <v>0</v>
      </c>
      <c r="T29" s="7" t="s">
        <v>3579</v>
      </c>
    </row>
  </sheetData>
  <autoFilter ref="A4:T29"/>
  <dataValidations count="1">
    <dataValidation allowBlank="false" errorStyle="stop" operator="between" showDropDown="false" showErrorMessage="false" showInputMessage="false" sqref="S5:S29"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5C"/>
    <pageSetUpPr fitToPage="false"/>
  </sheetPr>
  <dimension ref="A1:O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11"/>
    <col collapsed="false" customWidth="true" hidden="false" outlineLevel="0" max="4" min="4" style="0" width="62"/>
    <col collapsed="false" customWidth="true" hidden="false" outlineLevel="0" max="5" min="5" style="0" width="28"/>
    <col collapsed="false" customWidth="true" hidden="false" outlineLevel="0" max="6" min="6" style="0" width="9"/>
    <col collapsed="false" customWidth="true" hidden="false" outlineLevel="0" max="7" min="7" style="0" width="22"/>
    <col collapsed="false" customWidth="true" hidden="false" outlineLevel="0" max="8" min="8" style="0" width="11"/>
    <col collapsed="false" customWidth="true" hidden="false" outlineLevel="0" max="10" min="9" style="0" width="12"/>
    <col collapsed="false" customWidth="true" hidden="false" outlineLevel="0" max="11" min="11" style="0" width="13"/>
    <col collapsed="false" customWidth="true" hidden="false" outlineLevel="0" max="12" min="12" style="0" width="10"/>
    <col collapsed="false" customWidth="true" hidden="false" outlineLevel="0" max="13" min="13" style="0" width="11"/>
    <col collapsed="false" customWidth="true" hidden="false" outlineLevel="0" max="14" min="14" style="0" width="36"/>
    <col collapsed="false" customWidth="true" hidden="false" outlineLevel="0" max="15" min="15" style="0" width="30"/>
  </cols>
  <sheetData>
    <row r="1" customFormat="false" ht="17.35" hidden="false" customHeight="false" outlineLevel="0" collapsed="false">
      <c r="A1" s="1" t="s">
        <v>3580</v>
      </c>
    </row>
    <row r="2" customFormat="false" ht="15" hidden="false" customHeight="false" outlineLevel="0" collapsed="false">
      <c r="A2" s="2" t="s">
        <v>3581</v>
      </c>
    </row>
    <row r="4" customFormat="false" ht="15" hidden="false" customHeight="false" outlineLevel="0" collapsed="false">
      <c r="A4" s="11" t="s">
        <v>7</v>
      </c>
      <c r="C4" s="37" t="s">
        <v>3582</v>
      </c>
      <c r="E4" s="37" t="s">
        <v>3583</v>
      </c>
      <c r="G4" s="37" t="s">
        <v>3584</v>
      </c>
      <c r="I4" s="37" t="s">
        <v>3585</v>
      </c>
      <c r="K4" s="37" t="s">
        <v>3586</v>
      </c>
    </row>
    <row r="5" customFormat="false" ht="15" hidden="false" customHeight="false" outlineLevel="0" collapsed="false">
      <c r="C5" s="11" t="n">
        <f aca="false">COUNTIF(K10:K44,"A fazer")</f>
        <v>25</v>
      </c>
      <c r="E5" s="11" t="n">
        <f aca="false">COUNTIF(K10:K44,"Em andamento")</f>
        <v>0</v>
      </c>
      <c r="G5" s="11" t="n">
        <f aca="false">COUNTIF(K10:K44,"Concluída")</f>
        <v>0</v>
      </c>
      <c r="I5" s="11" t="n">
        <f aca="false">COUNTIF(K10:K44,"Bloqueada")</f>
        <v>0</v>
      </c>
      <c r="K5" s="11" t="n">
        <f aca="false">COUNTIF(K10:K44,"Cancelada")</f>
        <v>0</v>
      </c>
    </row>
    <row r="6" customFormat="false" ht="15" hidden="false" customHeight="false" outlineLevel="0" collapsed="false">
      <c r="C6" s="11" t="s">
        <v>3587</v>
      </c>
      <c r="G6" s="38" t="n">
        <f aca="false">SUMPRODUCT((K10:K44&lt;&gt;"Concluída")*(K10:K44&lt;&gt;"Cancelada")*(D10:D44&lt;&gt;"")*H10:H44)</f>
        <v>147</v>
      </c>
      <c r="I6" s="11" t="s">
        <v>3588</v>
      </c>
      <c r="K6" s="38" t="n">
        <f aca="false">G6/RISCO_PARAMETROS!$B$10</f>
        <v>18.375</v>
      </c>
      <c r="M6" s="11" t="s">
        <v>3589</v>
      </c>
      <c r="O6" s="39" t="n">
        <f aca="false">IFERROR(SUMPRODUCT((K10:K44="Concluída")*H10:H44)/SUMPRODUCT((K10:K44&lt;&gt;"Cancelada")*(D10:D44&lt;&gt;"")*H10:H44),0)</f>
        <v>0</v>
      </c>
    </row>
    <row r="7" customFormat="false" ht="15" hidden="false" customHeight="false" outlineLevel="0" collapsed="false">
      <c r="A7" s="2" t="s">
        <v>3590</v>
      </c>
    </row>
    <row r="9" customFormat="false" ht="31.5" hidden="false" customHeight="true" outlineLevel="0" collapsed="false">
      <c r="A9" s="6" t="s">
        <v>3591</v>
      </c>
      <c r="B9" s="6" t="s">
        <v>3592</v>
      </c>
      <c r="C9" s="6" t="s">
        <v>3593</v>
      </c>
      <c r="D9" s="6" t="s">
        <v>3594</v>
      </c>
      <c r="E9" s="6" t="s">
        <v>3178</v>
      </c>
      <c r="F9" s="6" t="s">
        <v>3491</v>
      </c>
      <c r="G9" s="6" t="s">
        <v>3191</v>
      </c>
      <c r="H9" s="6" t="s">
        <v>3498</v>
      </c>
      <c r="I9" s="6" t="s">
        <v>3595</v>
      </c>
      <c r="J9" s="6" t="s">
        <v>3596</v>
      </c>
      <c r="K9" s="6" t="s">
        <v>3193</v>
      </c>
      <c r="L9" s="6" t="s">
        <v>3597</v>
      </c>
      <c r="M9" s="6" t="s">
        <v>3494</v>
      </c>
      <c r="N9" s="6" t="s">
        <v>3496</v>
      </c>
      <c r="O9" s="6" t="s">
        <v>2592</v>
      </c>
    </row>
    <row r="10" customFormat="false" ht="35.05" hidden="false" customHeight="false" outlineLevel="0" collapsed="false">
      <c r="A10" s="7" t="n">
        <f aca="false">IF(D10="","",ROW()-9)</f>
        <v>1</v>
      </c>
      <c r="B10" s="7" t="s">
        <v>3598</v>
      </c>
      <c r="C10" s="7" t="s">
        <v>3525</v>
      </c>
      <c r="D10" s="13" t="s">
        <v>3526</v>
      </c>
      <c r="E10" s="13" t="s">
        <v>584</v>
      </c>
      <c r="F10" s="13" t="s">
        <v>3241</v>
      </c>
      <c r="G10" s="13" t="s">
        <v>3251</v>
      </c>
      <c r="H10" s="40" t="n">
        <f aca="false">PMO_BIBLIOTECA_25!M11</f>
        <v>13.5</v>
      </c>
      <c r="I10" s="41" t="n">
        <f aca="false">IF(D10="","",RISCO_PARAMETROS!$B$11+ROUNDUP(SUM($H$10:H10)/RISCO_PARAMETROS!$B$10*30,0)-ROUNDUP(H10/RISCO_PARAMETROS!$B$10*30,0))</f>
        <v>46300</v>
      </c>
      <c r="J10" s="41" t="n">
        <f aca="false">IF(D10="","",RISCO_PARAMETROS!$B$11+ROUNDUP(SUM($H$10:H10)/RISCO_PARAMETROS!$B$10*30,0))</f>
        <v>46351</v>
      </c>
      <c r="K10" s="13" t="s">
        <v>3582</v>
      </c>
      <c r="L10" s="42" t="n">
        <v>0</v>
      </c>
      <c r="M10" s="13"/>
      <c r="N10" s="13" t="s">
        <v>3247</v>
      </c>
      <c r="O10" s="13"/>
    </row>
    <row r="11" customFormat="false" ht="35.05" hidden="false" customHeight="false" outlineLevel="0" collapsed="false">
      <c r="A11" s="7" t="n">
        <f aca="false">IF(D11="","",ROW()-9)</f>
        <v>2</v>
      </c>
      <c r="B11" s="7" t="s">
        <v>3599</v>
      </c>
      <c r="C11" s="7" t="s">
        <v>3528</v>
      </c>
      <c r="D11" s="13" t="s">
        <v>3529</v>
      </c>
      <c r="E11" s="13" t="s">
        <v>584</v>
      </c>
      <c r="F11" s="13" t="s">
        <v>3241</v>
      </c>
      <c r="G11" s="13" t="s">
        <v>3251</v>
      </c>
      <c r="H11" s="40" t="n">
        <f aca="false">PMO_BIBLIOTECA_25!M12</f>
        <v>4.5</v>
      </c>
      <c r="I11" s="41" t="n">
        <f aca="false">IF(D11="","",RISCO_PARAMETROS!$B$11+ROUNDUP(SUM($H$10:H11)/RISCO_PARAMETROS!$B$10*30,0)-ROUNDUP(H11/RISCO_PARAMETROS!$B$10*30,0))</f>
        <v>46351</v>
      </c>
      <c r="J11" s="41" t="n">
        <f aca="false">IF(D11="","",RISCO_PARAMETROS!$B$11+ROUNDUP(SUM($H$10:H11)/RISCO_PARAMETROS!$B$10*30,0))</f>
        <v>46368</v>
      </c>
      <c r="K11" s="13" t="s">
        <v>3582</v>
      </c>
      <c r="L11" s="42" t="n">
        <v>0</v>
      </c>
      <c r="M11" s="13" t="s">
        <v>3525</v>
      </c>
      <c r="N11" s="13" t="s">
        <v>3247</v>
      </c>
      <c r="O11" s="13"/>
    </row>
    <row r="12" customFormat="false" ht="35.05" hidden="false" customHeight="false" outlineLevel="0" collapsed="false">
      <c r="A12" s="7" t="n">
        <f aca="false">IF(D12="","",ROW()-9)</f>
        <v>3</v>
      </c>
      <c r="B12" s="7" t="s">
        <v>3600</v>
      </c>
      <c r="C12" s="7" t="s">
        <v>3513</v>
      </c>
      <c r="D12" s="13" t="s">
        <v>3514</v>
      </c>
      <c r="E12" s="13" t="s">
        <v>564</v>
      </c>
      <c r="F12" s="13" t="s">
        <v>3213</v>
      </c>
      <c r="G12" s="13" t="s">
        <v>3223</v>
      </c>
      <c r="H12" s="40" t="n">
        <f aca="false">PMO_BIBLIOTECA_25!M7</f>
        <v>4.5</v>
      </c>
      <c r="I12" s="41" t="n">
        <f aca="false">IF(D12="","",RISCO_PARAMETROS!$B$11+ROUNDUP(SUM($H$10:H12)/RISCO_PARAMETROS!$B$10*30,0)-ROUNDUP(H12/RISCO_PARAMETROS!$B$10*30,0))</f>
        <v>46368</v>
      </c>
      <c r="J12" s="41" t="n">
        <f aca="false">IF(D12="","",RISCO_PARAMETROS!$B$11+ROUNDUP(SUM($H$10:H12)/RISCO_PARAMETROS!$B$10*30,0))</f>
        <v>46385</v>
      </c>
      <c r="K12" s="13" t="s">
        <v>3582</v>
      </c>
      <c r="L12" s="42" t="n">
        <v>0</v>
      </c>
      <c r="M12" s="13"/>
      <c r="N12" s="13" t="s">
        <v>3219</v>
      </c>
      <c r="O12" s="13"/>
    </row>
    <row r="13" customFormat="false" ht="35.05" hidden="false" customHeight="false" outlineLevel="0" collapsed="false">
      <c r="A13" s="7" t="n">
        <f aca="false">IF(D13="","",ROW()-9)</f>
        <v>4</v>
      </c>
      <c r="B13" s="7" t="s">
        <v>3601</v>
      </c>
      <c r="C13" s="7" t="s">
        <v>3506</v>
      </c>
      <c r="D13" s="13" t="s">
        <v>3508</v>
      </c>
      <c r="E13" s="13" t="s">
        <v>552</v>
      </c>
      <c r="F13" s="13" t="s">
        <v>3196</v>
      </c>
      <c r="G13" s="13" t="s">
        <v>3207</v>
      </c>
      <c r="H13" s="40" t="n">
        <f aca="false">PMO_BIBLIOTECA_25!M5</f>
        <v>4</v>
      </c>
      <c r="I13" s="41" t="n">
        <f aca="false">IF(D13="","",RISCO_PARAMETROS!$B$11+ROUNDUP(SUM($H$10:H13)/RISCO_PARAMETROS!$B$10*30,0)-ROUNDUP(H13/RISCO_PARAMETROS!$B$10*30,0))</f>
        <v>46385</v>
      </c>
      <c r="J13" s="41" t="n">
        <f aca="false">IF(D13="","",RISCO_PARAMETROS!$B$11+ROUNDUP(SUM($H$10:H13)/RISCO_PARAMETROS!$B$10*30,0))</f>
        <v>46400</v>
      </c>
      <c r="K13" s="13" t="s">
        <v>3582</v>
      </c>
      <c r="L13" s="42" t="n">
        <v>0</v>
      </c>
      <c r="M13" s="13"/>
      <c r="N13" s="13" t="s">
        <v>3203</v>
      </c>
      <c r="O13" s="13"/>
    </row>
    <row r="14" customFormat="false" ht="23.85" hidden="false" customHeight="false" outlineLevel="0" collapsed="false">
      <c r="A14" s="7" t="n">
        <f aca="false">IF(D14="","",ROW()-9)</f>
        <v>5</v>
      </c>
      <c r="B14" s="7" t="s">
        <v>3602</v>
      </c>
      <c r="C14" s="7" t="s">
        <v>3519</v>
      </c>
      <c r="D14" s="13" t="s">
        <v>3520</v>
      </c>
      <c r="E14" s="13" t="s">
        <v>575</v>
      </c>
      <c r="F14" s="13" t="s">
        <v>3227</v>
      </c>
      <c r="G14" s="13" t="s">
        <v>3237</v>
      </c>
      <c r="H14" s="40" t="n">
        <f aca="false">PMO_BIBLIOTECA_25!M9</f>
        <v>3</v>
      </c>
      <c r="I14" s="41" t="n">
        <f aca="false">IF(D14="","",RISCO_PARAMETROS!$B$11+ROUNDUP(SUM($H$10:H14)/RISCO_PARAMETROS!$B$10*30,0)-ROUNDUP(H14/RISCO_PARAMETROS!$B$10*30,0))</f>
        <v>46399</v>
      </c>
      <c r="J14" s="41" t="n">
        <f aca="false">IF(D14="","",RISCO_PARAMETROS!$B$11+ROUNDUP(SUM($H$10:H14)/RISCO_PARAMETROS!$B$10*30,0))</f>
        <v>46411</v>
      </c>
      <c r="K14" s="13" t="s">
        <v>3582</v>
      </c>
      <c r="L14" s="42" t="n">
        <v>0</v>
      </c>
      <c r="M14" s="13"/>
      <c r="N14" s="13" t="s">
        <v>3233</v>
      </c>
      <c r="O14" s="13"/>
    </row>
    <row r="15" customFormat="false" ht="35.05" hidden="false" customHeight="false" outlineLevel="0" collapsed="false">
      <c r="A15" s="7" t="n">
        <f aca="false">IF(D15="","",ROW()-9)</f>
        <v>6</v>
      </c>
      <c r="B15" s="7" t="s">
        <v>3603</v>
      </c>
      <c r="C15" s="7" t="s">
        <v>3548</v>
      </c>
      <c r="D15" s="13" t="s">
        <v>3549</v>
      </c>
      <c r="E15" s="13" t="s">
        <v>1207</v>
      </c>
      <c r="F15" s="13" t="s">
        <v>3309</v>
      </c>
      <c r="G15" s="13" t="s">
        <v>3318</v>
      </c>
      <c r="H15" s="40" t="n">
        <f aca="false">PMO_BIBLIOTECA_25!M19</f>
        <v>7.5</v>
      </c>
      <c r="I15" s="41" t="n">
        <f aca="false">IF(D15="","",RISCO_PARAMETROS!$B$11+ROUNDUP(SUM($H$10:H15)/RISCO_PARAMETROS!$B$10*30,0)-ROUNDUP(H15/RISCO_PARAMETROS!$B$10*30,0))</f>
        <v>46410</v>
      </c>
      <c r="J15" s="41" t="n">
        <f aca="false">IF(D15="","",RISCO_PARAMETROS!$B$11+ROUNDUP(SUM($H$10:H15)/RISCO_PARAMETROS!$B$10*30,0))</f>
        <v>46439</v>
      </c>
      <c r="K15" s="13" t="s">
        <v>3582</v>
      </c>
      <c r="L15" s="42" t="n">
        <v>0</v>
      </c>
      <c r="M15" s="13"/>
      <c r="N15" s="13" t="s">
        <v>3314</v>
      </c>
      <c r="O15" s="13"/>
    </row>
    <row r="16" customFormat="false" ht="35.05" hidden="false" customHeight="false" outlineLevel="0" collapsed="false">
      <c r="A16" s="7" t="n">
        <f aca="false">IF(D16="","",ROW()-9)</f>
        <v>7</v>
      </c>
      <c r="B16" s="7" t="s">
        <v>3604</v>
      </c>
      <c r="C16" s="7" t="s">
        <v>3551</v>
      </c>
      <c r="D16" s="13" t="s">
        <v>3552</v>
      </c>
      <c r="E16" s="13" t="s">
        <v>1207</v>
      </c>
      <c r="F16" s="13" t="s">
        <v>3309</v>
      </c>
      <c r="G16" s="13" t="s">
        <v>3318</v>
      </c>
      <c r="H16" s="40" t="n">
        <f aca="false">PMO_BIBLIOTECA_25!M20</f>
        <v>4.5</v>
      </c>
      <c r="I16" s="41" t="n">
        <f aca="false">IF(D16="","",RISCO_PARAMETROS!$B$11+ROUNDUP(SUM($H$10:H16)/RISCO_PARAMETROS!$B$10*30,0)-ROUNDUP(H16/RISCO_PARAMETROS!$B$10*30,0))</f>
        <v>46439</v>
      </c>
      <c r="J16" s="41" t="n">
        <f aca="false">IF(D16="","",RISCO_PARAMETROS!$B$11+ROUNDUP(SUM($H$10:H16)/RISCO_PARAMETROS!$B$10*30,0))</f>
        <v>46456</v>
      </c>
      <c r="K16" s="13" t="s">
        <v>3582</v>
      </c>
      <c r="L16" s="42" t="n">
        <v>0</v>
      </c>
      <c r="M16" s="13" t="s">
        <v>3548</v>
      </c>
      <c r="N16" s="13" t="s">
        <v>3314</v>
      </c>
      <c r="O16" s="13"/>
    </row>
    <row r="17" customFormat="false" ht="35.05" hidden="false" customHeight="false" outlineLevel="0" collapsed="false">
      <c r="A17" s="7" t="n">
        <f aca="false">IF(D17="","",ROW()-9)</f>
        <v>8</v>
      </c>
      <c r="B17" s="7" t="s">
        <v>3605</v>
      </c>
      <c r="C17" s="7" t="s">
        <v>3542</v>
      </c>
      <c r="D17" s="13" t="s">
        <v>3543</v>
      </c>
      <c r="E17" s="13" t="s">
        <v>613</v>
      </c>
      <c r="F17" s="13" t="s">
        <v>3268</v>
      </c>
      <c r="G17" s="13" t="s">
        <v>3278</v>
      </c>
      <c r="H17" s="40" t="n">
        <f aca="false">PMO_BIBLIOTECA_25!M17</f>
        <v>8.5</v>
      </c>
      <c r="I17" s="41" t="n">
        <f aca="false">IF(D17="","",RISCO_PARAMETROS!$B$11+ROUNDUP(SUM($H$10:H17)/RISCO_PARAMETROS!$B$10*30,0)-ROUNDUP(H17/RISCO_PARAMETROS!$B$10*30,0))</f>
        <v>46456</v>
      </c>
      <c r="J17" s="41" t="n">
        <f aca="false">IF(D17="","",RISCO_PARAMETROS!$B$11+ROUNDUP(SUM($H$10:H17)/RISCO_PARAMETROS!$B$10*30,0))</f>
        <v>46488</v>
      </c>
      <c r="K17" s="13" t="s">
        <v>3582</v>
      </c>
      <c r="L17" s="42" t="n">
        <v>0</v>
      </c>
      <c r="M17" s="13"/>
      <c r="N17" s="13" t="s">
        <v>3274</v>
      </c>
      <c r="O17" s="13"/>
    </row>
    <row r="18" customFormat="false" ht="35.05" hidden="false" customHeight="false" outlineLevel="0" collapsed="false">
      <c r="A18" s="7" t="n">
        <f aca="false">IF(D18="","",ROW()-9)</f>
        <v>9</v>
      </c>
      <c r="B18" s="7" t="s">
        <v>3606</v>
      </c>
      <c r="C18" s="7" t="s">
        <v>3545</v>
      </c>
      <c r="D18" s="13" t="s">
        <v>3546</v>
      </c>
      <c r="E18" s="13" t="s">
        <v>613</v>
      </c>
      <c r="F18" s="13" t="s">
        <v>3268</v>
      </c>
      <c r="G18" s="13" t="s">
        <v>3278</v>
      </c>
      <c r="H18" s="40" t="n">
        <f aca="false">PMO_BIBLIOTECA_25!M18</f>
        <v>4.5</v>
      </c>
      <c r="I18" s="41" t="n">
        <f aca="false">IF(D18="","",RISCO_PARAMETROS!$B$11+ROUNDUP(SUM($H$10:H18)/RISCO_PARAMETROS!$B$10*30,0)-ROUNDUP(H18/RISCO_PARAMETROS!$B$10*30,0))</f>
        <v>46488</v>
      </c>
      <c r="J18" s="41" t="n">
        <f aca="false">IF(D18="","",RISCO_PARAMETROS!$B$11+ROUNDUP(SUM($H$10:H18)/RISCO_PARAMETROS!$B$10*30,0))</f>
        <v>46505</v>
      </c>
      <c r="K18" s="13" t="s">
        <v>3582</v>
      </c>
      <c r="L18" s="42" t="n">
        <v>0</v>
      </c>
      <c r="M18" s="13" t="s">
        <v>3542</v>
      </c>
      <c r="N18" s="13" t="s">
        <v>3274</v>
      </c>
      <c r="O18" s="13"/>
    </row>
    <row r="19" customFormat="false" ht="35.05" hidden="false" customHeight="false" outlineLevel="0" collapsed="false">
      <c r="A19" s="7" t="n">
        <f aca="false">IF(D19="","",ROW()-9)</f>
        <v>10</v>
      </c>
      <c r="B19" s="7" t="s">
        <v>3607</v>
      </c>
      <c r="C19" s="7" t="s">
        <v>3537</v>
      </c>
      <c r="D19" s="13" t="s">
        <v>3538</v>
      </c>
      <c r="E19" s="13" t="s">
        <v>1184</v>
      </c>
      <c r="F19" s="13" t="s">
        <v>3296</v>
      </c>
      <c r="G19" s="13" t="s">
        <v>3305</v>
      </c>
      <c r="H19" s="40" t="n">
        <f aca="false">PMO_BIBLIOTECA_25!M15</f>
        <v>3.5</v>
      </c>
      <c r="I19" s="41" t="n">
        <f aca="false">IF(D19="","",RISCO_PARAMETROS!$B$11+ROUNDUP(SUM($H$10:H19)/RISCO_PARAMETROS!$B$10*30,0)-ROUNDUP(H19/RISCO_PARAMETROS!$B$10*30,0))</f>
        <v>46504</v>
      </c>
      <c r="J19" s="41" t="n">
        <f aca="false">IF(D19="","",RISCO_PARAMETROS!$B$11+ROUNDUP(SUM($H$10:H19)/RISCO_PARAMETROS!$B$10*30,0))</f>
        <v>46518</v>
      </c>
      <c r="K19" s="13" t="s">
        <v>3582</v>
      </c>
      <c r="L19" s="42" t="n">
        <v>0</v>
      </c>
      <c r="M19" s="13"/>
      <c r="N19" s="13" t="s">
        <v>3302</v>
      </c>
      <c r="O19" s="13"/>
    </row>
    <row r="20" customFormat="false" ht="23.85" hidden="false" customHeight="false" outlineLevel="0" collapsed="false">
      <c r="A20" s="7" t="n">
        <f aca="false">IF(D20="","",ROW()-9)</f>
        <v>11</v>
      </c>
      <c r="B20" s="7" t="s">
        <v>3608</v>
      </c>
      <c r="C20" s="7" t="s">
        <v>3522</v>
      </c>
      <c r="D20" s="13" t="s">
        <v>3523</v>
      </c>
      <c r="E20" s="13" t="s">
        <v>575</v>
      </c>
      <c r="F20" s="13" t="s">
        <v>3227</v>
      </c>
      <c r="G20" s="13" t="s">
        <v>3237</v>
      </c>
      <c r="H20" s="40" t="n">
        <f aca="false">PMO_BIBLIOTECA_25!M10</f>
        <v>7</v>
      </c>
      <c r="I20" s="41" t="n">
        <f aca="false">IF(D20="","",RISCO_PARAMETROS!$B$11+ROUNDUP(SUM($H$10:H20)/RISCO_PARAMETROS!$B$10*30,0)-ROUNDUP(H20/RISCO_PARAMETROS!$B$10*30,0))</f>
        <v>46517</v>
      </c>
      <c r="J20" s="41" t="n">
        <f aca="false">IF(D20="","",RISCO_PARAMETROS!$B$11+ROUNDUP(SUM($H$10:H20)/RISCO_PARAMETROS!$B$10*30,0))</f>
        <v>46544</v>
      </c>
      <c r="K20" s="13" t="s">
        <v>3582</v>
      </c>
      <c r="L20" s="42" t="n">
        <v>0</v>
      </c>
      <c r="M20" s="13" t="s">
        <v>3519</v>
      </c>
      <c r="N20" s="13" t="s">
        <v>3233</v>
      </c>
      <c r="O20" s="13"/>
    </row>
    <row r="21" customFormat="false" ht="35.05" hidden="false" customHeight="false" outlineLevel="0" collapsed="false">
      <c r="A21" s="7" t="n">
        <f aca="false">IF(D21="","",ROW()-9)</f>
        <v>12</v>
      </c>
      <c r="B21" s="7" t="s">
        <v>3609</v>
      </c>
      <c r="C21" s="7" t="s">
        <v>3510</v>
      </c>
      <c r="D21" s="13" t="s">
        <v>3511</v>
      </c>
      <c r="E21" s="13" t="s">
        <v>552</v>
      </c>
      <c r="F21" s="13" t="s">
        <v>3196</v>
      </c>
      <c r="G21" s="13" t="s">
        <v>3207</v>
      </c>
      <c r="H21" s="40" t="n">
        <f aca="false">PMO_BIBLIOTECA_25!M6</f>
        <v>9.5</v>
      </c>
      <c r="I21" s="41" t="n">
        <f aca="false">IF(D21="","",RISCO_PARAMETROS!$B$11+ROUNDUP(SUM($H$10:H21)/RISCO_PARAMETROS!$B$10*30,0)-ROUNDUP(H21/RISCO_PARAMETROS!$B$10*30,0))</f>
        <v>46544</v>
      </c>
      <c r="J21" s="41" t="n">
        <f aca="false">IF(D21="","",RISCO_PARAMETROS!$B$11+ROUNDUP(SUM($H$10:H21)/RISCO_PARAMETROS!$B$10*30,0))</f>
        <v>46580</v>
      </c>
      <c r="K21" s="13" t="s">
        <v>3582</v>
      </c>
      <c r="L21" s="42" t="n">
        <v>0</v>
      </c>
      <c r="M21" s="13"/>
      <c r="N21" s="13" t="s">
        <v>3203</v>
      </c>
      <c r="O21" s="13"/>
    </row>
    <row r="22" customFormat="false" ht="23.85" hidden="false" customHeight="false" outlineLevel="0" collapsed="false">
      <c r="A22" s="7" t="n">
        <f aca="false">IF(D22="","",ROW()-9)</f>
        <v>13</v>
      </c>
      <c r="B22" s="7" t="s">
        <v>3610</v>
      </c>
      <c r="C22" s="7" t="s">
        <v>3557</v>
      </c>
      <c r="D22" s="13" t="s">
        <v>3558</v>
      </c>
      <c r="E22" s="13" t="s">
        <v>623</v>
      </c>
      <c r="F22" s="13" t="s">
        <v>3282</v>
      </c>
      <c r="G22" s="13" t="s">
        <v>3292</v>
      </c>
      <c r="H22" s="40" t="n">
        <f aca="false">PMO_BIBLIOTECA_25!M22</f>
        <v>5</v>
      </c>
      <c r="I22" s="41" t="n">
        <f aca="false">IF(D22="","",RISCO_PARAMETROS!$B$11+ROUNDUP(SUM($H$10:H22)/RISCO_PARAMETROS!$B$10*30,0)-ROUNDUP(H22/RISCO_PARAMETROS!$B$10*30,0))</f>
        <v>46580</v>
      </c>
      <c r="J22" s="41" t="n">
        <f aca="false">IF(D22="","",RISCO_PARAMETROS!$B$11+ROUNDUP(SUM($H$10:H22)/RISCO_PARAMETROS!$B$10*30,0))</f>
        <v>46599</v>
      </c>
      <c r="K22" s="13" t="s">
        <v>3582</v>
      </c>
      <c r="L22" s="42" t="n">
        <v>0</v>
      </c>
      <c r="M22" s="13"/>
      <c r="N22" s="13" t="s">
        <v>3288</v>
      </c>
      <c r="O22" s="13"/>
    </row>
    <row r="23" customFormat="false" ht="35.05" hidden="false" customHeight="false" outlineLevel="0" collapsed="false">
      <c r="A23" s="7" t="n">
        <f aca="false">IF(D23="","",ROW()-9)</f>
        <v>14</v>
      </c>
      <c r="B23" s="7" t="s">
        <v>3611</v>
      </c>
      <c r="C23" s="7" t="s">
        <v>3516</v>
      </c>
      <c r="D23" s="13" t="s">
        <v>3517</v>
      </c>
      <c r="E23" s="13" t="s">
        <v>564</v>
      </c>
      <c r="F23" s="13" t="s">
        <v>3213</v>
      </c>
      <c r="G23" s="13" t="s">
        <v>3223</v>
      </c>
      <c r="H23" s="40" t="n">
        <f aca="false">PMO_BIBLIOTECA_25!M8</f>
        <v>4</v>
      </c>
      <c r="I23" s="41" t="n">
        <f aca="false">IF(D23="","",RISCO_PARAMETROS!$B$11+ROUNDUP(SUM($H$10:H23)/RISCO_PARAMETROS!$B$10*30,0)-ROUNDUP(H23/RISCO_PARAMETROS!$B$10*30,0))</f>
        <v>46599</v>
      </c>
      <c r="J23" s="41" t="n">
        <f aca="false">IF(D23="","",RISCO_PARAMETROS!$B$11+ROUNDUP(SUM($H$10:H23)/RISCO_PARAMETROS!$B$10*30,0))</f>
        <v>46614</v>
      </c>
      <c r="K23" s="13" t="s">
        <v>3582</v>
      </c>
      <c r="L23" s="42" t="n">
        <v>0</v>
      </c>
      <c r="M23" s="13" t="s">
        <v>3513</v>
      </c>
      <c r="N23" s="13" t="s">
        <v>3219</v>
      </c>
      <c r="O23" s="13"/>
    </row>
    <row r="24" customFormat="false" ht="35.05" hidden="false" customHeight="false" outlineLevel="0" collapsed="false">
      <c r="A24" s="7" t="n">
        <f aca="false">IF(D24="","",ROW()-9)</f>
        <v>15</v>
      </c>
      <c r="B24" s="7" t="s">
        <v>3612</v>
      </c>
      <c r="C24" s="7" t="s">
        <v>3540</v>
      </c>
      <c r="D24" s="13" t="s">
        <v>3541</v>
      </c>
      <c r="E24" s="13" t="s">
        <v>1184</v>
      </c>
      <c r="F24" s="13" t="s">
        <v>3296</v>
      </c>
      <c r="G24" s="13" t="s">
        <v>3305</v>
      </c>
      <c r="H24" s="40" t="n">
        <f aca="false">PMO_BIBLIOTECA_25!M16</f>
        <v>5</v>
      </c>
      <c r="I24" s="41" t="n">
        <f aca="false">IF(D24="","",RISCO_PARAMETROS!$B$11+ROUNDUP(SUM($H$10:H24)/RISCO_PARAMETROS!$B$10*30,0)-ROUNDUP(H24/RISCO_PARAMETROS!$B$10*30,0))</f>
        <v>46613</v>
      </c>
      <c r="J24" s="41" t="n">
        <f aca="false">IF(D24="","",RISCO_PARAMETROS!$B$11+ROUNDUP(SUM($H$10:H24)/RISCO_PARAMETROS!$B$10*30,0))</f>
        <v>46632</v>
      </c>
      <c r="K24" s="13" t="s">
        <v>3582</v>
      </c>
      <c r="L24" s="42" t="n">
        <v>0</v>
      </c>
      <c r="M24" s="13" t="s">
        <v>3537</v>
      </c>
      <c r="N24" s="13" t="s">
        <v>3302</v>
      </c>
      <c r="O24" s="13"/>
    </row>
    <row r="25" customFormat="false" ht="35.05" hidden="false" customHeight="false" outlineLevel="0" collapsed="false">
      <c r="A25" s="7" t="n">
        <f aca="false">IF(D25="","",ROW()-9)</f>
        <v>16</v>
      </c>
      <c r="B25" s="7" t="s">
        <v>3613</v>
      </c>
      <c r="C25" s="7" t="s">
        <v>3531</v>
      </c>
      <c r="D25" s="13" t="s">
        <v>3532</v>
      </c>
      <c r="E25" s="13" t="s">
        <v>594</v>
      </c>
      <c r="F25" s="13" t="s">
        <v>3255</v>
      </c>
      <c r="G25" s="13" t="s">
        <v>3264</v>
      </c>
      <c r="H25" s="40" t="n">
        <f aca="false">PMO_BIBLIOTECA_25!M13</f>
        <v>5</v>
      </c>
      <c r="I25" s="41" t="n">
        <f aca="false">IF(D25="","",RISCO_PARAMETROS!$B$11+ROUNDUP(SUM($H$10:H25)/RISCO_PARAMETROS!$B$10*30,0)-ROUNDUP(H25/RISCO_PARAMETROS!$B$10*30,0))</f>
        <v>46632</v>
      </c>
      <c r="J25" s="41" t="n">
        <f aca="false">IF(D25="","",RISCO_PARAMETROS!$B$11+ROUNDUP(SUM($H$10:H25)/RISCO_PARAMETROS!$B$10*30,0))</f>
        <v>46651</v>
      </c>
      <c r="K25" s="13" t="s">
        <v>3582</v>
      </c>
      <c r="L25" s="42" t="n">
        <v>0</v>
      </c>
      <c r="M25" s="13"/>
      <c r="N25" s="13" t="s">
        <v>3260</v>
      </c>
      <c r="O25" s="13"/>
    </row>
    <row r="26" customFormat="false" ht="23.85" hidden="false" customHeight="false" outlineLevel="0" collapsed="false">
      <c r="A26" s="7" t="n">
        <f aca="false">IF(D26="","",ROW()-9)</f>
        <v>17</v>
      </c>
      <c r="B26" s="7" t="s">
        <v>3614</v>
      </c>
      <c r="C26" s="7" t="s">
        <v>3554</v>
      </c>
      <c r="D26" s="13" t="s">
        <v>3555</v>
      </c>
      <c r="E26" s="13" t="s">
        <v>1279</v>
      </c>
      <c r="F26" s="13" t="s">
        <v>3322</v>
      </c>
      <c r="G26" s="13" t="s">
        <v>3331</v>
      </c>
      <c r="H26" s="40" t="n">
        <f aca="false">PMO_BIBLIOTECA_25!M21</f>
        <v>6.5</v>
      </c>
      <c r="I26" s="41" t="n">
        <f aca="false">IF(D26="","",RISCO_PARAMETROS!$B$11+ROUNDUP(SUM($H$10:H26)/RISCO_PARAMETROS!$B$10*30,0)-ROUNDUP(H26/RISCO_PARAMETROS!$B$10*30,0))</f>
        <v>46650</v>
      </c>
      <c r="J26" s="41" t="n">
        <f aca="false">IF(D26="","",RISCO_PARAMETROS!$B$11+ROUNDUP(SUM($H$10:H26)/RISCO_PARAMETROS!$B$10*30,0))</f>
        <v>46675</v>
      </c>
      <c r="K26" s="13" t="s">
        <v>3582</v>
      </c>
      <c r="L26" s="42" t="n">
        <v>0</v>
      </c>
      <c r="M26" s="13"/>
      <c r="N26" s="13" t="s">
        <v>3327</v>
      </c>
      <c r="O26" s="13"/>
    </row>
    <row r="27" customFormat="false" ht="35.05" hidden="false" customHeight="false" outlineLevel="0" collapsed="false">
      <c r="A27" s="7" t="n">
        <f aca="false">IF(D27="","",ROW()-9)</f>
        <v>18</v>
      </c>
      <c r="B27" s="7" t="s">
        <v>3615</v>
      </c>
      <c r="C27" s="7" t="s">
        <v>3534</v>
      </c>
      <c r="D27" s="13" t="s">
        <v>3535</v>
      </c>
      <c r="E27" s="13" t="s">
        <v>594</v>
      </c>
      <c r="F27" s="13" t="s">
        <v>3255</v>
      </c>
      <c r="G27" s="13" t="s">
        <v>3264</v>
      </c>
      <c r="H27" s="40" t="n">
        <f aca="false">PMO_BIBLIOTECA_25!M14</f>
        <v>11</v>
      </c>
      <c r="I27" s="41" t="n">
        <f aca="false">IF(D27="","",RISCO_PARAMETROS!$B$11+ROUNDUP(SUM($H$10:H27)/RISCO_PARAMETROS!$B$10*30,0)-ROUNDUP(H27/RISCO_PARAMETROS!$B$10*30,0))</f>
        <v>46675</v>
      </c>
      <c r="J27" s="41" t="n">
        <f aca="false">IF(D27="","",RISCO_PARAMETROS!$B$11+ROUNDUP(SUM($H$10:H27)/RISCO_PARAMETROS!$B$10*30,0))</f>
        <v>46717</v>
      </c>
      <c r="K27" s="13" t="s">
        <v>3582</v>
      </c>
      <c r="L27" s="42" t="n">
        <v>0</v>
      </c>
      <c r="M27" s="13" t="s">
        <v>3531</v>
      </c>
      <c r="N27" s="13" t="s">
        <v>3260</v>
      </c>
      <c r="O27" s="13"/>
    </row>
    <row r="28" customFormat="false" ht="23.85" hidden="false" customHeight="false" outlineLevel="0" collapsed="false">
      <c r="A28" s="7" t="n">
        <f aca="false">IF(D28="","",ROW()-9)</f>
        <v>19</v>
      </c>
      <c r="B28" s="7" t="s">
        <v>3616</v>
      </c>
      <c r="C28" s="7" t="s">
        <v>3560</v>
      </c>
      <c r="D28" s="13" t="s">
        <v>3561</v>
      </c>
      <c r="E28" s="13" t="s">
        <v>2032</v>
      </c>
      <c r="F28" s="13" t="s">
        <v>3334</v>
      </c>
      <c r="G28" s="13" t="s">
        <v>3344</v>
      </c>
      <c r="H28" s="40" t="n">
        <f aca="false">PMO_BIBLIOTECA_25!M23</f>
        <v>5</v>
      </c>
      <c r="I28" s="41" t="n">
        <f aca="false">IF(D28="","",RISCO_PARAMETROS!$B$11+ROUNDUP(SUM($H$10:H28)/RISCO_PARAMETROS!$B$10*30,0)-ROUNDUP(H28/RISCO_PARAMETROS!$B$10*30,0))</f>
        <v>46716</v>
      </c>
      <c r="J28" s="41" t="n">
        <f aca="false">IF(D28="","",RISCO_PARAMETROS!$B$11+ROUNDUP(SUM($H$10:H28)/RISCO_PARAMETROS!$B$10*30,0))</f>
        <v>46735</v>
      </c>
      <c r="K28" s="13" t="s">
        <v>3582</v>
      </c>
      <c r="L28" s="42" t="n">
        <v>0</v>
      </c>
      <c r="M28" s="13"/>
      <c r="N28" s="13" t="s">
        <v>3341</v>
      </c>
      <c r="O28" s="13"/>
    </row>
    <row r="29" customFormat="false" ht="23.85" hidden="false" customHeight="false" outlineLevel="0" collapsed="false">
      <c r="A29" s="7" t="n">
        <f aca="false">IF(D29="","",ROW()-9)</f>
        <v>20</v>
      </c>
      <c r="B29" s="7" t="s">
        <v>3617</v>
      </c>
      <c r="C29" s="7" t="s">
        <v>3574</v>
      </c>
      <c r="D29" s="13" t="s">
        <v>3575</v>
      </c>
      <c r="E29" s="13" t="s">
        <v>2203</v>
      </c>
      <c r="F29" s="13" t="s">
        <v>3397</v>
      </c>
      <c r="G29" s="13" t="s">
        <v>3405</v>
      </c>
      <c r="H29" s="40" t="n">
        <f aca="false">PMO_BIBLIOTECA_25!M28</f>
        <v>5.5</v>
      </c>
      <c r="I29" s="41" t="n">
        <f aca="false">IF(D29="","",RISCO_PARAMETROS!$B$11+ROUNDUP(SUM($H$10:H29)/RISCO_PARAMETROS!$B$10*30,0)-ROUNDUP(H29/RISCO_PARAMETROS!$B$10*30,0))</f>
        <v>46735</v>
      </c>
      <c r="J29" s="41" t="n">
        <f aca="false">IF(D29="","",RISCO_PARAMETROS!$B$11+ROUNDUP(SUM($H$10:H29)/RISCO_PARAMETROS!$B$10*30,0))</f>
        <v>46756</v>
      </c>
      <c r="K29" s="13" t="s">
        <v>3582</v>
      </c>
      <c r="L29" s="42" t="n">
        <v>0</v>
      </c>
      <c r="M29" s="13"/>
      <c r="N29" s="13" t="s">
        <v>3402</v>
      </c>
      <c r="O29" s="13"/>
    </row>
    <row r="30" customFormat="false" ht="35.05" hidden="false" customHeight="false" outlineLevel="0" collapsed="false">
      <c r="A30" s="7" t="n">
        <f aca="false">IF(D30="","",ROW()-9)</f>
        <v>21</v>
      </c>
      <c r="B30" s="7" t="s">
        <v>3618</v>
      </c>
      <c r="C30" s="7" t="s">
        <v>3577</v>
      </c>
      <c r="D30" s="13" t="s">
        <v>3578</v>
      </c>
      <c r="E30" s="13" t="s">
        <v>2248</v>
      </c>
      <c r="F30" s="13" t="s">
        <v>3409</v>
      </c>
      <c r="G30" s="13" t="s">
        <v>3344</v>
      </c>
      <c r="H30" s="40" t="n">
        <f aca="false">PMO_BIBLIOTECA_25!M29</f>
        <v>3.5</v>
      </c>
      <c r="I30" s="41" t="n">
        <f aca="false">IF(D30="","",RISCO_PARAMETROS!$B$11+ROUNDUP(SUM($H$10:H30)/RISCO_PARAMETROS!$B$10*30,0)-ROUNDUP(H30/RISCO_PARAMETROS!$B$10*30,0))</f>
        <v>46755</v>
      </c>
      <c r="J30" s="41" t="n">
        <f aca="false">IF(D30="","",RISCO_PARAMETROS!$B$11+ROUNDUP(SUM($H$10:H30)/RISCO_PARAMETROS!$B$10*30,0))</f>
        <v>46769</v>
      </c>
      <c r="K30" s="13" t="s">
        <v>3582</v>
      </c>
      <c r="L30" s="42" t="n">
        <v>0</v>
      </c>
      <c r="M30" s="13"/>
      <c r="N30" s="13" t="s">
        <v>3414</v>
      </c>
      <c r="O30" s="13"/>
    </row>
    <row r="31" customFormat="false" ht="23.85" hidden="false" customHeight="false" outlineLevel="0" collapsed="false">
      <c r="A31" s="7" t="n">
        <f aca="false">IF(D31="","",ROW()-9)</f>
        <v>22</v>
      </c>
      <c r="B31" s="7" t="s">
        <v>3619</v>
      </c>
      <c r="C31" s="7" t="s">
        <v>3566</v>
      </c>
      <c r="D31" s="13" t="s">
        <v>3364</v>
      </c>
      <c r="E31" s="13" t="s">
        <v>2115</v>
      </c>
      <c r="F31" s="13" t="s">
        <v>3359</v>
      </c>
      <c r="G31" s="13" t="s">
        <v>3368</v>
      </c>
      <c r="H31" s="40" t="n">
        <f aca="false">PMO_BIBLIOTECA_25!M25</f>
        <v>4</v>
      </c>
      <c r="I31" s="41" t="n">
        <f aca="false">IF(D31="","",RISCO_PARAMETROS!$B$11+ROUNDUP(SUM($H$10:H31)/RISCO_PARAMETROS!$B$10*30,0)-ROUNDUP(H31/RISCO_PARAMETROS!$B$10*30,0))</f>
        <v>46769</v>
      </c>
      <c r="J31" s="41" t="n">
        <f aca="false">IF(D31="","",RISCO_PARAMETROS!$B$11+ROUNDUP(SUM($H$10:H31)/RISCO_PARAMETROS!$B$10*30,0))</f>
        <v>46784</v>
      </c>
      <c r="K31" s="13" t="s">
        <v>3582</v>
      </c>
      <c r="L31" s="42" t="n">
        <v>0</v>
      </c>
      <c r="M31" s="13"/>
      <c r="N31" s="13" t="s">
        <v>3365</v>
      </c>
      <c r="O31" s="13"/>
    </row>
    <row r="32" customFormat="false" ht="23.85" hidden="false" customHeight="false" outlineLevel="0" collapsed="false">
      <c r="A32" s="7" t="n">
        <f aca="false">IF(D32="","",ROW()-9)</f>
        <v>23</v>
      </c>
      <c r="B32" s="7" t="s">
        <v>3620</v>
      </c>
      <c r="C32" s="7" t="s">
        <v>3563</v>
      </c>
      <c r="D32" s="13" t="s">
        <v>3564</v>
      </c>
      <c r="E32" s="13" t="s">
        <v>2078</v>
      </c>
      <c r="F32" s="13" t="s">
        <v>3348</v>
      </c>
      <c r="G32" s="13" t="s">
        <v>3356</v>
      </c>
      <c r="H32" s="40" t="n">
        <f aca="false">PMO_BIBLIOTECA_25!M24</f>
        <v>5.5</v>
      </c>
      <c r="I32" s="41" t="n">
        <f aca="false">IF(D32="","",RISCO_PARAMETROS!$B$11+ROUNDUP(SUM($H$10:H32)/RISCO_PARAMETROS!$B$10*30,0)-ROUNDUP(H32/RISCO_PARAMETROS!$B$10*30,0))</f>
        <v>46784</v>
      </c>
      <c r="J32" s="41" t="n">
        <f aca="false">IF(D32="","",RISCO_PARAMETROS!$B$11+ROUNDUP(SUM($H$10:H32)/RISCO_PARAMETROS!$B$10*30,0))</f>
        <v>46805</v>
      </c>
      <c r="K32" s="13" t="s">
        <v>3582</v>
      </c>
      <c r="L32" s="42" t="n">
        <v>0</v>
      </c>
      <c r="M32" s="13"/>
      <c r="N32" s="13" t="s">
        <v>3353</v>
      </c>
      <c r="O32" s="13"/>
    </row>
    <row r="33" customFormat="false" ht="35.05" hidden="false" customHeight="false" outlineLevel="0" collapsed="false">
      <c r="A33" s="7" t="n">
        <f aca="false">IF(D33="","",ROW()-9)</f>
        <v>24</v>
      </c>
      <c r="B33" s="7" t="s">
        <v>3621</v>
      </c>
      <c r="C33" s="7" t="s">
        <v>3568</v>
      </c>
      <c r="D33" s="13" t="s">
        <v>3569</v>
      </c>
      <c r="E33" s="13" t="s">
        <v>2137</v>
      </c>
      <c r="F33" s="13" t="s">
        <v>3372</v>
      </c>
      <c r="G33" s="13" t="s">
        <v>3381</v>
      </c>
      <c r="H33" s="40" t="n">
        <f aca="false">PMO_BIBLIOTECA_25!M26</f>
        <v>6</v>
      </c>
      <c r="I33" s="41" t="n">
        <f aca="false">IF(D33="","",RISCO_PARAMETROS!$B$11+ROUNDUP(SUM($H$10:H33)/RISCO_PARAMETROS!$B$10*30,0)-ROUNDUP(H33/RISCO_PARAMETROS!$B$10*30,0))</f>
        <v>46804</v>
      </c>
      <c r="J33" s="41" t="n">
        <f aca="false">IF(D33="","",RISCO_PARAMETROS!$B$11+ROUNDUP(SUM($H$10:H33)/RISCO_PARAMETROS!$B$10*30,0))</f>
        <v>46827</v>
      </c>
      <c r="K33" s="13" t="s">
        <v>3582</v>
      </c>
      <c r="L33" s="42" t="n">
        <v>0</v>
      </c>
      <c r="M33" s="13"/>
      <c r="N33" s="13" t="s">
        <v>3378</v>
      </c>
      <c r="O33" s="13"/>
    </row>
    <row r="34" customFormat="false" ht="23.85" hidden="false" customHeight="false" outlineLevel="0" collapsed="false">
      <c r="A34" s="7" t="n">
        <f aca="false">IF(D34="","",ROW()-9)</f>
        <v>25</v>
      </c>
      <c r="B34" s="7" t="s">
        <v>3622</v>
      </c>
      <c r="C34" s="7" t="s">
        <v>3571</v>
      </c>
      <c r="D34" s="13" t="s">
        <v>3572</v>
      </c>
      <c r="E34" s="13" t="s">
        <v>2186</v>
      </c>
      <c r="F34" s="13" t="s">
        <v>3384</v>
      </c>
      <c r="G34" s="13" t="s">
        <v>3394</v>
      </c>
      <c r="H34" s="40" t="n">
        <f aca="false">PMO_BIBLIOTECA_25!M27</f>
        <v>6.5</v>
      </c>
      <c r="I34" s="41" t="n">
        <f aca="false">IF(D34="","",RISCO_PARAMETROS!$B$11+ROUNDUP(SUM($H$10:H34)/RISCO_PARAMETROS!$B$10*30,0)-ROUNDUP(H34/RISCO_PARAMETROS!$B$10*30,0))</f>
        <v>46827</v>
      </c>
      <c r="J34" s="41" t="n">
        <f aca="false">IF(D34="","",RISCO_PARAMETROS!$B$11+ROUNDUP(SUM($H$10:H34)/RISCO_PARAMETROS!$B$10*30,0))</f>
        <v>46852</v>
      </c>
      <c r="K34" s="13" t="s">
        <v>3582</v>
      </c>
      <c r="L34" s="42" t="n">
        <v>0</v>
      </c>
      <c r="M34" s="13"/>
      <c r="N34" s="13" t="s">
        <v>3390</v>
      </c>
      <c r="O34" s="13"/>
    </row>
    <row r="35" customFormat="false" ht="15" hidden="false" customHeight="false" outlineLevel="0" collapsed="false">
      <c r="A35" s="7" t="str">
        <f aca="false">IF(D35="","",ROW()-9)</f>
        <v/>
      </c>
      <c r="B35" s="7" t="s">
        <v>3623</v>
      </c>
      <c r="C35" s="7"/>
      <c r="D35" s="13"/>
      <c r="E35" s="13"/>
      <c r="F35" s="13"/>
      <c r="G35" s="13"/>
      <c r="H35" s="26"/>
      <c r="I35" s="41" t="str">
        <f aca="false">IF(D35="","",RISCO_PARAMETROS!$B$11+ROUNDUP(SUM($H$10:H35)/RISCO_PARAMETROS!$B$10*30,0)-ROUNDUP(H35/RISCO_PARAMETROS!$B$10*30,0))</f>
        <v/>
      </c>
      <c r="J35" s="41" t="str">
        <f aca="false">IF(D35="","",RISCO_PARAMETROS!$B$11+ROUNDUP(SUM($H$10:H35)/RISCO_PARAMETROS!$B$10*30,0))</f>
        <v/>
      </c>
      <c r="K35" s="13"/>
      <c r="L35" s="42"/>
      <c r="M35" s="13"/>
      <c r="N35" s="13"/>
      <c r="O35" s="13"/>
    </row>
    <row r="36" customFormat="false" ht="15" hidden="false" customHeight="false" outlineLevel="0" collapsed="false">
      <c r="A36" s="7" t="str">
        <f aca="false">IF(D36="","",ROW()-9)</f>
        <v/>
      </c>
      <c r="B36" s="7" t="s">
        <v>3624</v>
      </c>
      <c r="C36" s="7"/>
      <c r="D36" s="13"/>
      <c r="E36" s="13"/>
      <c r="F36" s="13"/>
      <c r="G36" s="13"/>
      <c r="H36" s="26"/>
      <c r="I36" s="41" t="str">
        <f aca="false">IF(D36="","",RISCO_PARAMETROS!$B$11+ROUNDUP(SUM($H$10:H36)/RISCO_PARAMETROS!$B$10*30,0)-ROUNDUP(H36/RISCO_PARAMETROS!$B$10*30,0))</f>
        <v/>
      </c>
      <c r="J36" s="41" t="str">
        <f aca="false">IF(D36="","",RISCO_PARAMETROS!$B$11+ROUNDUP(SUM($H$10:H36)/RISCO_PARAMETROS!$B$10*30,0))</f>
        <v/>
      </c>
      <c r="K36" s="13"/>
      <c r="L36" s="42"/>
      <c r="M36" s="13"/>
      <c r="N36" s="13"/>
      <c r="O36" s="13"/>
    </row>
    <row r="37" customFormat="false" ht="15" hidden="false" customHeight="false" outlineLevel="0" collapsed="false">
      <c r="A37" s="7" t="str">
        <f aca="false">IF(D37="","",ROW()-9)</f>
        <v/>
      </c>
      <c r="B37" s="7" t="s">
        <v>3625</v>
      </c>
      <c r="C37" s="7"/>
      <c r="D37" s="13"/>
      <c r="E37" s="13"/>
      <c r="F37" s="13"/>
      <c r="G37" s="13"/>
      <c r="H37" s="26"/>
      <c r="I37" s="41" t="str">
        <f aca="false">IF(D37="","",RISCO_PARAMETROS!$B$11+ROUNDUP(SUM($H$10:H37)/RISCO_PARAMETROS!$B$10*30,0)-ROUNDUP(H37/RISCO_PARAMETROS!$B$10*30,0))</f>
        <v/>
      </c>
      <c r="J37" s="41" t="str">
        <f aca="false">IF(D37="","",RISCO_PARAMETROS!$B$11+ROUNDUP(SUM($H$10:H37)/RISCO_PARAMETROS!$B$10*30,0))</f>
        <v/>
      </c>
      <c r="K37" s="13"/>
      <c r="L37" s="42"/>
      <c r="M37" s="13"/>
      <c r="N37" s="13"/>
      <c r="O37" s="13"/>
    </row>
    <row r="38" customFormat="false" ht="15" hidden="false" customHeight="false" outlineLevel="0" collapsed="false">
      <c r="A38" s="7" t="str">
        <f aca="false">IF(D38="","",ROW()-9)</f>
        <v/>
      </c>
      <c r="B38" s="7" t="s">
        <v>3626</v>
      </c>
      <c r="C38" s="7"/>
      <c r="D38" s="13"/>
      <c r="E38" s="13"/>
      <c r="F38" s="13"/>
      <c r="G38" s="13"/>
      <c r="H38" s="26"/>
      <c r="I38" s="41" t="str">
        <f aca="false">IF(D38="","",RISCO_PARAMETROS!$B$11+ROUNDUP(SUM($H$10:H38)/RISCO_PARAMETROS!$B$10*30,0)-ROUNDUP(H38/RISCO_PARAMETROS!$B$10*30,0))</f>
        <v/>
      </c>
      <c r="J38" s="41" t="str">
        <f aca="false">IF(D38="","",RISCO_PARAMETROS!$B$11+ROUNDUP(SUM($H$10:H38)/RISCO_PARAMETROS!$B$10*30,0))</f>
        <v/>
      </c>
      <c r="K38" s="13"/>
      <c r="L38" s="42"/>
      <c r="M38" s="13"/>
      <c r="N38" s="13"/>
      <c r="O38" s="13"/>
    </row>
    <row r="39" customFormat="false" ht="15" hidden="false" customHeight="false" outlineLevel="0" collapsed="false">
      <c r="A39" s="7" t="str">
        <f aca="false">IF(D39="","",ROW()-9)</f>
        <v/>
      </c>
      <c r="B39" s="7" t="s">
        <v>3627</v>
      </c>
      <c r="C39" s="7"/>
      <c r="D39" s="13"/>
      <c r="E39" s="13"/>
      <c r="F39" s="13"/>
      <c r="G39" s="13"/>
      <c r="H39" s="26"/>
      <c r="I39" s="41" t="str">
        <f aca="false">IF(D39="","",RISCO_PARAMETROS!$B$11+ROUNDUP(SUM($H$10:H39)/RISCO_PARAMETROS!$B$10*30,0)-ROUNDUP(H39/RISCO_PARAMETROS!$B$10*30,0))</f>
        <v/>
      </c>
      <c r="J39" s="41" t="str">
        <f aca="false">IF(D39="","",RISCO_PARAMETROS!$B$11+ROUNDUP(SUM($H$10:H39)/RISCO_PARAMETROS!$B$10*30,0))</f>
        <v/>
      </c>
      <c r="K39" s="13"/>
      <c r="L39" s="42"/>
      <c r="M39" s="13"/>
      <c r="N39" s="13"/>
      <c r="O39" s="13"/>
    </row>
    <row r="40" customFormat="false" ht="15" hidden="false" customHeight="false" outlineLevel="0" collapsed="false">
      <c r="A40" s="7" t="str">
        <f aca="false">IF(D40="","",ROW()-9)</f>
        <v/>
      </c>
      <c r="B40" s="7" t="s">
        <v>3628</v>
      </c>
      <c r="C40" s="7"/>
      <c r="D40" s="13"/>
      <c r="E40" s="13"/>
      <c r="F40" s="13"/>
      <c r="G40" s="13"/>
      <c r="H40" s="26"/>
      <c r="I40" s="41" t="str">
        <f aca="false">IF(D40="","",RISCO_PARAMETROS!$B$11+ROUNDUP(SUM($H$10:H40)/RISCO_PARAMETROS!$B$10*30,0)-ROUNDUP(H40/RISCO_PARAMETROS!$B$10*30,0))</f>
        <v/>
      </c>
      <c r="J40" s="41" t="str">
        <f aca="false">IF(D40="","",RISCO_PARAMETROS!$B$11+ROUNDUP(SUM($H$10:H40)/RISCO_PARAMETROS!$B$10*30,0))</f>
        <v/>
      </c>
      <c r="K40" s="13"/>
      <c r="L40" s="42"/>
      <c r="M40" s="13"/>
      <c r="N40" s="13"/>
      <c r="O40" s="13"/>
    </row>
    <row r="41" customFormat="false" ht="15" hidden="false" customHeight="false" outlineLevel="0" collapsed="false">
      <c r="A41" s="7" t="str">
        <f aca="false">IF(D41="","",ROW()-9)</f>
        <v/>
      </c>
      <c r="B41" s="7" t="s">
        <v>3629</v>
      </c>
      <c r="C41" s="7"/>
      <c r="D41" s="13"/>
      <c r="E41" s="13"/>
      <c r="F41" s="13"/>
      <c r="G41" s="13"/>
      <c r="H41" s="26"/>
      <c r="I41" s="41" t="str">
        <f aca="false">IF(D41="","",RISCO_PARAMETROS!$B$11+ROUNDUP(SUM($H$10:H41)/RISCO_PARAMETROS!$B$10*30,0)-ROUNDUP(H41/RISCO_PARAMETROS!$B$10*30,0))</f>
        <v/>
      </c>
      <c r="J41" s="41" t="str">
        <f aca="false">IF(D41="","",RISCO_PARAMETROS!$B$11+ROUNDUP(SUM($H$10:H41)/RISCO_PARAMETROS!$B$10*30,0))</f>
        <v/>
      </c>
      <c r="K41" s="13"/>
      <c r="L41" s="42"/>
      <c r="M41" s="13"/>
      <c r="N41" s="13"/>
      <c r="O41" s="13"/>
    </row>
    <row r="42" customFormat="false" ht="15" hidden="false" customHeight="false" outlineLevel="0" collapsed="false">
      <c r="A42" s="7" t="str">
        <f aca="false">IF(D42="","",ROW()-9)</f>
        <v/>
      </c>
      <c r="B42" s="7" t="s">
        <v>3630</v>
      </c>
      <c r="C42" s="7"/>
      <c r="D42" s="13"/>
      <c r="E42" s="13"/>
      <c r="F42" s="13"/>
      <c r="G42" s="13"/>
      <c r="H42" s="26"/>
      <c r="I42" s="41" t="str">
        <f aca="false">IF(D42="","",RISCO_PARAMETROS!$B$11+ROUNDUP(SUM($H$10:H42)/RISCO_PARAMETROS!$B$10*30,0)-ROUNDUP(H42/RISCO_PARAMETROS!$B$10*30,0))</f>
        <v/>
      </c>
      <c r="J42" s="41" t="str">
        <f aca="false">IF(D42="","",RISCO_PARAMETROS!$B$11+ROUNDUP(SUM($H$10:H42)/RISCO_PARAMETROS!$B$10*30,0))</f>
        <v/>
      </c>
      <c r="K42" s="13"/>
      <c r="L42" s="42"/>
      <c r="M42" s="13"/>
      <c r="N42" s="13"/>
      <c r="O42" s="13"/>
    </row>
    <row r="43" customFormat="false" ht="15" hidden="false" customHeight="false" outlineLevel="0" collapsed="false">
      <c r="A43" s="7" t="str">
        <f aca="false">IF(D43="","",ROW()-9)</f>
        <v/>
      </c>
      <c r="B43" s="7" t="s">
        <v>3631</v>
      </c>
      <c r="C43" s="7"/>
      <c r="D43" s="13"/>
      <c r="E43" s="13"/>
      <c r="F43" s="13"/>
      <c r="G43" s="13"/>
      <c r="H43" s="26"/>
      <c r="I43" s="41" t="str">
        <f aca="false">IF(D43="","",RISCO_PARAMETROS!$B$11+ROUNDUP(SUM($H$10:H43)/RISCO_PARAMETROS!$B$10*30,0)-ROUNDUP(H43/RISCO_PARAMETROS!$B$10*30,0))</f>
        <v/>
      </c>
      <c r="J43" s="41" t="str">
        <f aca="false">IF(D43="","",RISCO_PARAMETROS!$B$11+ROUNDUP(SUM($H$10:H43)/RISCO_PARAMETROS!$B$10*30,0))</f>
        <v/>
      </c>
      <c r="K43" s="13"/>
      <c r="L43" s="42"/>
      <c r="M43" s="13"/>
      <c r="N43" s="13"/>
      <c r="O43" s="13"/>
    </row>
    <row r="44" customFormat="false" ht="15" hidden="false" customHeight="false" outlineLevel="0" collapsed="false">
      <c r="A44" s="7" t="str">
        <f aca="false">IF(D44="","",ROW()-9)</f>
        <v/>
      </c>
      <c r="B44" s="7" t="s">
        <v>3632</v>
      </c>
      <c r="C44" s="7"/>
      <c r="D44" s="13"/>
      <c r="E44" s="13"/>
      <c r="F44" s="13"/>
      <c r="G44" s="13"/>
      <c r="H44" s="26"/>
      <c r="I44" s="41" t="str">
        <f aca="false">IF(D44="","",RISCO_PARAMETROS!$B$11+ROUNDUP(SUM($H$10:H44)/RISCO_PARAMETROS!$B$10*30,0)-ROUNDUP(H44/RISCO_PARAMETROS!$B$10*30,0))</f>
        <v/>
      </c>
      <c r="J44" s="41" t="str">
        <f aca="false">IF(D44="","",RISCO_PARAMETROS!$B$11+ROUNDUP(SUM($H$10:H44)/RISCO_PARAMETROS!$B$10*30,0))</f>
        <v/>
      </c>
      <c r="K44" s="13"/>
      <c r="L44" s="42"/>
      <c r="M44" s="13"/>
      <c r="N44" s="13"/>
      <c r="O44" s="13"/>
    </row>
  </sheetData>
  <autoFilter ref="A9:O44"/>
  <dataValidations count="1">
    <dataValidation allowBlank="true" errorStyle="stop" operator="between" showDropDown="false" showErrorMessage="false" showInputMessage="false" sqref="K10:K44" type="list">
      <formula1>"A fazer,Em andamento,Concluída,Bloqueada,Cancelada"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5C"/>
    <pageSetUpPr fitToPage="false"/>
  </sheetPr>
  <dimension ref="A1: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62"/>
    <col collapsed="false" customWidth="true" hidden="false" outlineLevel="0" max="4" min="4" style="0" width="30"/>
    <col collapsed="false" customWidth="true" hidden="false" outlineLevel="0" max="6" min="5" style="0" width="9"/>
    <col collapsed="false" customWidth="true" hidden="false" outlineLevel="0" max="7" min="7" style="0" width="10"/>
    <col collapsed="false" customWidth="true" hidden="false" outlineLevel="0" max="8" min="8" style="0" width="11"/>
    <col collapsed="false" customWidth="true" hidden="false" outlineLevel="0" max="9" min="9" style="0" width="10"/>
    <col collapsed="false" customWidth="true" hidden="false" outlineLevel="0" max="10" min="10" style="0" width="20"/>
    <col collapsed="false" customWidth="true" hidden="false" outlineLevel="0" max="11" min="11" style="0" width="16"/>
    <col collapsed="false" customWidth="true" hidden="false" outlineLevel="0" max="12" min="12" style="0" width="20"/>
    <col collapsed="false" customWidth="true" hidden="false" outlineLevel="0" max="13" min="13" style="0" width="13"/>
    <col collapsed="false" customWidth="true" hidden="false" outlineLevel="0" max="14" min="14" style="0" width="30"/>
    <col collapsed="false" customWidth="true" hidden="false" outlineLevel="0" max="15" min="15" style="0" width="11"/>
  </cols>
  <sheetData>
    <row r="1" customFormat="false" ht="17.35" hidden="false" customHeight="false" outlineLevel="0" collapsed="false">
      <c r="A1" s="1" t="s">
        <v>3633</v>
      </c>
    </row>
    <row r="2" customFormat="false" ht="15" hidden="false" customHeight="false" outlineLevel="0" collapsed="false">
      <c r="A2" s="2" t="s">
        <v>3634</v>
      </c>
    </row>
    <row r="4" customFormat="false" ht="31.5" hidden="false" customHeight="true" outlineLevel="0" collapsed="false">
      <c r="A4" s="6" t="s">
        <v>3635</v>
      </c>
      <c r="B4" s="6" t="s">
        <v>118</v>
      </c>
      <c r="C4" s="6" t="s">
        <v>3490</v>
      </c>
      <c r="D4" s="6" t="s">
        <v>3178</v>
      </c>
      <c r="E4" s="6" t="s">
        <v>3636</v>
      </c>
      <c r="F4" s="6" t="s">
        <v>3499</v>
      </c>
      <c r="G4" s="6" t="s">
        <v>3637</v>
      </c>
      <c r="H4" s="6" t="s">
        <v>3498</v>
      </c>
      <c r="I4" s="6" t="s">
        <v>3638</v>
      </c>
      <c r="J4" s="6" t="s">
        <v>3639</v>
      </c>
      <c r="K4" s="6" t="s">
        <v>3640</v>
      </c>
      <c r="L4" s="6" t="s">
        <v>3641</v>
      </c>
      <c r="M4" s="6" t="s">
        <v>3642</v>
      </c>
      <c r="N4" s="6" t="s">
        <v>2592</v>
      </c>
      <c r="O4" s="6" t="s">
        <v>3643</v>
      </c>
    </row>
    <row r="5" customFormat="false" ht="23.85" hidden="false" customHeight="false" outlineLevel="0" collapsed="false">
      <c r="A5" s="7" t="n">
        <v>1</v>
      </c>
      <c r="B5" s="7" t="str">
        <f aca="false">INDEX(PMO_BIBLIOTECA_25!$A$5:$A$29,MATCH($A5,PMO_BIBLIOTECA_25!$R$5:$R$29,0))</f>
        <v>ACT-08</v>
      </c>
      <c r="C5" s="7" t="str">
        <f aca="false">INDEX(PMO_BIBLIOTECA_25!$E$5:$E$29,MATCH($A5,PMO_BIBLIOTECA_25!$R$5:$R$29,0))</f>
        <v>Colher o aceite do Código e das políticas por 100% dos colaboradores e registrar a divulgação</v>
      </c>
      <c r="D5" s="7" t="str">
        <f aca="false">INDEX(PMO_BIBLIOTECA_25!$C$5:$C$29,MATCH($A5,PMO_BIBLIOTECA_25!$R$5:$R$29,0))</f>
        <v>Código de Ética, Políticas e Procedimentos</v>
      </c>
      <c r="E5" s="7" t="str">
        <f aca="false">INDEX(PMO_BIBLIOTECA_25!$F$5:$F$29,MATCH($A5,PMO_BIBLIOTECA_25!$R$5:$R$29,0))</f>
        <v>RM-04</v>
      </c>
      <c r="F5" s="7" t="n">
        <f aca="false">INDEX(PMO_BIBLIOTECA_25!$N$5:$N$29,MATCH($A5,PMO_BIBLIOTECA_25!$R$5:$R$29,0))</f>
        <v>16</v>
      </c>
      <c r="G5" s="25" t="n">
        <f aca="false">INDEX(PMO_BIBLIOTECA_25!$O$5:$O$29,MATCH($A5,PMO_BIBLIOTECA_25!$R$5:$R$29,0))</f>
        <v>7.1</v>
      </c>
      <c r="H5" s="25" t="n">
        <f aca="false">INDEX(PMO_BIBLIOTECA_25!$M$5:$M$29,MATCH($A5,PMO_BIBLIOTECA_25!$R$5:$R$29,0))</f>
        <v>4.5</v>
      </c>
      <c r="I5" s="25" t="n">
        <f aca="false">INDEX(PMO_BIBLIOTECA_25!$P$5:$P$29,MATCH($A5,PMO_BIBLIOTECA_25!$R$5:$R$29,0))</f>
        <v>62</v>
      </c>
      <c r="J5" s="7" t="str">
        <f aca="false">IF(F5&gt;=RISCO_PARAMETROS!$B$6,"Imediata (até 30 dias)",IF(F5&gt;=RISCO_PARAMETROS!$B$7,"Próximos 90 dias","Planejada (6 meses)"))</f>
        <v>Próximos 90 dias</v>
      </c>
      <c r="K5" s="13" t="s">
        <v>3644</v>
      </c>
      <c r="L5" s="13"/>
      <c r="M5" s="43"/>
      <c r="N5" s="13"/>
      <c r="O5" s="7" t="str">
        <f aca="false">IF(INDEX(PMO_BIBLIOTECA_25!$I$5:$I$29,MATCH($A5,PMO_BIBLIOTECA_25!$R$5:$R$29,0))="","—",INDEX(PMO_BIBLIOTECA_25!$I$5:$I$29,MATCH($A5,PMO_BIBLIOTECA_25!$R$5:$R$29,0)))</f>
        <v>ACT-07</v>
      </c>
    </row>
    <row r="6" customFormat="false" ht="23.85" hidden="false" customHeight="false" outlineLevel="0" collapsed="false">
      <c r="A6" s="7" t="n">
        <v>2</v>
      </c>
      <c r="B6" s="7" t="str">
        <f aca="false">INDEX(PMO_BIBLIOTECA_25!$A$5:$A$29,MATCH($A6,PMO_BIBLIOTECA_25!$R$5:$R$29,0))</f>
        <v>ACT-03</v>
      </c>
      <c r="C6" s="7" t="str">
        <f aca="false">INDEX(PMO_BIBLIOTECA_25!$E$5:$E$29,MATCH($A6,PMO_BIBLIOTECA_25!$R$5:$R$29,0))</f>
        <v>Formalizar a instância de integridade: ato de criação, regimento, independência, linha de reporte e orçamento</v>
      </c>
      <c r="D6" s="7" t="str">
        <f aca="false">INDEX(PMO_BIBLIOTECA_25!$C$5:$C$29,MATCH($A6,PMO_BIBLIOTECA_25!$R$5:$R$29,0))</f>
        <v>Instância Responsável pelo Programa</v>
      </c>
      <c r="E6" s="7" t="str">
        <f aca="false">INDEX(PMO_BIBLIOTECA_25!$F$5:$F$29,MATCH($A6,PMO_BIBLIOTECA_25!$R$5:$R$29,0))</f>
        <v>RM-02</v>
      </c>
      <c r="F6" s="7" t="n">
        <f aca="false">INDEX(PMO_BIBLIOTECA_25!$N$5:$N$29,MATCH($A6,PMO_BIBLIOTECA_25!$R$5:$R$29,0))</f>
        <v>15</v>
      </c>
      <c r="G6" s="25" t="n">
        <f aca="false">INDEX(PMO_BIBLIOTECA_25!$O$5:$O$29,MATCH($A6,PMO_BIBLIOTECA_25!$R$5:$R$29,0))</f>
        <v>10.4</v>
      </c>
      <c r="H6" s="25" t="n">
        <f aca="false">INDEX(PMO_BIBLIOTECA_25!$M$5:$M$29,MATCH($A6,PMO_BIBLIOTECA_25!$R$5:$R$29,0))</f>
        <v>4.5</v>
      </c>
      <c r="I6" s="25" t="n">
        <f aca="false">INDEX(PMO_BIBLIOTECA_25!$P$5:$P$29,MATCH($A6,PMO_BIBLIOTECA_25!$R$5:$R$29,0))</f>
        <v>60</v>
      </c>
      <c r="J6" s="7" t="str">
        <f aca="false">IF(F6&gt;=RISCO_PARAMETROS!$B$6,"Imediata (até 30 dias)",IF(F6&gt;=RISCO_PARAMETROS!$B$7,"Próximos 90 dias","Planejada (6 meses)"))</f>
        <v>Próximos 90 dias</v>
      </c>
      <c r="K6" s="13" t="s">
        <v>3644</v>
      </c>
      <c r="L6" s="13"/>
      <c r="M6" s="43"/>
      <c r="N6" s="13"/>
      <c r="O6" s="7" t="str">
        <f aca="false">IF(INDEX(PMO_BIBLIOTECA_25!$I$5:$I$29,MATCH($A6,PMO_BIBLIOTECA_25!$R$5:$R$29,0))="","—",INDEX(PMO_BIBLIOTECA_25!$I$5:$I$29,MATCH($A6,PMO_BIBLIOTECA_25!$R$5:$R$29,0)))</f>
        <v>—</v>
      </c>
    </row>
    <row r="7" customFormat="false" ht="23.85" hidden="false" customHeight="false" outlineLevel="0" collapsed="false">
      <c r="A7" s="7" t="n">
        <v>3</v>
      </c>
      <c r="B7" s="7" t="str">
        <f aca="false">INDEX(PMO_BIBLIOTECA_25!$A$5:$A$29,MATCH($A7,PMO_BIBLIOTECA_25!$R$5:$R$29,0))</f>
        <v>ACT-01</v>
      </c>
      <c r="C7" s="7" t="str">
        <f aca="false">INDEX(PMO_BIBLIOTECA_25!$E$5:$E$29,MATCH($A7,PMO_BIBLIOTECA_25!$R$5:$R$29,0))</f>
        <v>Formalizar o apoio da alta direção: termo de compromisso, mensagem pública e orçamento do programa de integridade</v>
      </c>
      <c r="D7" s="7" t="str">
        <f aca="false">INDEX(PMO_BIBLIOTECA_25!$C$5:$C$29,MATCH($A7,PMO_BIBLIOTECA_25!$R$5:$R$29,0))</f>
        <v>Comprometimento da Alta Direção</v>
      </c>
      <c r="E7" s="7" t="str">
        <f aca="false">INDEX(PMO_BIBLIOTECA_25!$F$5:$F$29,MATCH($A7,PMO_BIBLIOTECA_25!$R$5:$R$29,0))</f>
        <v>RM-01</v>
      </c>
      <c r="F7" s="7" t="n">
        <f aca="false">INDEX(PMO_BIBLIOTECA_25!$N$5:$N$29,MATCH($A7,PMO_BIBLIOTECA_25!$R$5:$R$29,0))</f>
        <v>20</v>
      </c>
      <c r="G7" s="25" t="n">
        <f aca="false">INDEX(PMO_BIBLIOTECA_25!$O$5:$O$29,MATCH($A7,PMO_BIBLIOTECA_25!$R$5:$R$29,0))</f>
        <v>3</v>
      </c>
      <c r="H7" s="25" t="n">
        <f aca="false">INDEX(PMO_BIBLIOTECA_25!$M$5:$M$29,MATCH($A7,PMO_BIBLIOTECA_25!$R$5:$R$29,0))</f>
        <v>4</v>
      </c>
      <c r="I7" s="25" t="n">
        <f aca="false">INDEX(PMO_BIBLIOTECA_25!$P$5:$P$29,MATCH($A7,PMO_BIBLIOTECA_25!$R$5:$R$29,0))</f>
        <v>55</v>
      </c>
      <c r="J7" s="7" t="str">
        <f aca="false">IF(F7&gt;=RISCO_PARAMETROS!$B$6,"Imediata (até 30 dias)",IF(F7&gt;=RISCO_PARAMETROS!$B$7,"Próximos 90 dias","Planejada (6 meses)"))</f>
        <v>Imediata (até 30 dias)</v>
      </c>
      <c r="K7" s="13" t="s">
        <v>3644</v>
      </c>
      <c r="L7" s="13"/>
      <c r="M7" s="43"/>
      <c r="N7" s="13"/>
      <c r="O7" s="7" t="str">
        <f aca="false">IF(INDEX(PMO_BIBLIOTECA_25!$I$5:$I$29,MATCH($A7,PMO_BIBLIOTECA_25!$R$5:$R$29,0))="","—",INDEX(PMO_BIBLIOTECA_25!$I$5:$I$29,MATCH($A7,PMO_BIBLIOTECA_25!$R$5:$R$29,0)))</f>
        <v>—</v>
      </c>
    </row>
    <row r="8" customFormat="false" ht="23.85" hidden="false" customHeight="false" outlineLevel="0" collapsed="false">
      <c r="A8" s="7" t="n">
        <v>4</v>
      </c>
      <c r="B8" s="7" t="str">
        <f aca="false">INDEX(PMO_BIBLIOTECA_25!$A$5:$A$29,MATCH($A8,PMO_BIBLIOTECA_25!$R$5:$R$29,0))</f>
        <v>ACT-05</v>
      </c>
      <c r="C8" s="7" t="str">
        <f aca="false">INDEX(PMO_BIBLIOTECA_25!$E$5:$E$29,MATCH($A8,PMO_BIBLIOTECA_25!$R$5:$R$29,0))</f>
        <v>Aprovar a metodologia de gestão de riscos de integridade, com critérios P×I e gatilhos de revisão</v>
      </c>
      <c r="D8" s="7" t="str">
        <f aca="false">INDEX(PMO_BIBLIOTECA_25!$C$5:$C$29,MATCH($A8,PMO_BIBLIOTECA_25!$R$5:$R$29,0))</f>
        <v>Gestão de Riscos para a Integridade</v>
      </c>
      <c r="E8" s="7" t="str">
        <f aca="false">INDEX(PMO_BIBLIOTECA_25!$F$5:$F$29,MATCH($A8,PMO_BIBLIOTECA_25!$R$5:$R$29,0))</f>
        <v>RM-03</v>
      </c>
      <c r="F8" s="7" t="n">
        <f aca="false">INDEX(PMO_BIBLIOTECA_25!$N$5:$N$29,MATCH($A8,PMO_BIBLIOTECA_25!$R$5:$R$29,0))</f>
        <v>16</v>
      </c>
      <c r="G8" s="25" t="n">
        <f aca="false">INDEX(PMO_BIBLIOTECA_25!$O$5:$O$29,MATCH($A8,PMO_BIBLIOTECA_25!$R$5:$R$29,0))</f>
        <v>2.5</v>
      </c>
      <c r="H8" s="25" t="n">
        <f aca="false">INDEX(PMO_BIBLIOTECA_25!$M$5:$M$29,MATCH($A8,PMO_BIBLIOTECA_25!$R$5:$R$29,0))</f>
        <v>3</v>
      </c>
      <c r="I8" s="25" t="n">
        <f aca="false">INDEX(PMO_BIBLIOTECA_25!$P$5:$P$29,MATCH($A8,PMO_BIBLIOTECA_25!$R$5:$R$29,0))</f>
        <v>44.5</v>
      </c>
      <c r="J8" s="7" t="str">
        <f aca="false">IF(F8&gt;=RISCO_PARAMETROS!$B$6,"Imediata (até 30 dias)",IF(F8&gt;=RISCO_PARAMETROS!$B$7,"Próximos 90 dias","Planejada (6 meses)"))</f>
        <v>Próximos 90 dias</v>
      </c>
      <c r="K8" s="13" t="s">
        <v>3644</v>
      </c>
      <c r="L8" s="13"/>
      <c r="M8" s="43"/>
      <c r="N8" s="13"/>
      <c r="O8" s="7" t="str">
        <f aca="false">IF(INDEX(PMO_BIBLIOTECA_25!$I$5:$I$29,MATCH($A8,PMO_BIBLIOTECA_25!$R$5:$R$29,0))="","—",INDEX(PMO_BIBLIOTECA_25!$I$5:$I$29,MATCH($A8,PMO_BIBLIOTECA_25!$R$5:$R$29,0)))</f>
        <v>—</v>
      </c>
    </row>
    <row r="9" customFormat="false" ht="23.85" hidden="false" customHeight="false" outlineLevel="0" collapsed="false">
      <c r="A9" s="7" t="n">
        <v>5</v>
      </c>
      <c r="B9" s="7" t="str">
        <f aca="false">INDEX(PMO_BIBLIOTECA_25!$A$5:$A$29,MATCH($A9,PMO_BIBLIOTECA_25!$R$5:$R$29,0))</f>
        <v>ACT-15</v>
      </c>
      <c r="C9" s="7" t="str">
        <f aca="false">INDEX(PMO_BIBLIOTECA_25!$E$5:$E$29,MATCH($A9,PMO_BIBLIOTECA_25!$R$5:$R$29,0))</f>
        <v>Instituir a política de due diligence de terceiros por nível de risco, com cláusula anticorrupção e checklist de M&amp;A</v>
      </c>
      <c r="D9" s="7" t="str">
        <f aca="false">INDEX(PMO_BIBLIOTECA_25!$C$5:$C$29,MATCH($A9,PMO_BIBLIOTECA_25!$R$5:$R$29,0))</f>
        <v>Diligência de Terceiros e M&amp;A</v>
      </c>
      <c r="E9" s="7" t="str">
        <f aca="false">INDEX(PMO_BIBLIOTECA_25!$F$5:$F$29,MATCH($A9,PMO_BIBLIOTECA_25!$R$5:$R$29,0))</f>
        <v>RM-09</v>
      </c>
      <c r="F9" s="7" t="n">
        <f aca="false">INDEX(PMO_BIBLIOTECA_25!$N$5:$N$29,MATCH($A9,PMO_BIBLIOTECA_25!$R$5:$R$29,0))</f>
        <v>20</v>
      </c>
      <c r="G9" s="25" t="n">
        <f aca="false">INDEX(PMO_BIBLIOTECA_25!$O$5:$O$29,MATCH($A9,PMO_BIBLIOTECA_25!$R$5:$R$29,0))</f>
        <v>6.3</v>
      </c>
      <c r="H9" s="25" t="n">
        <f aca="false">INDEX(PMO_BIBLIOTECA_25!$M$5:$M$29,MATCH($A9,PMO_BIBLIOTECA_25!$R$5:$R$29,0))</f>
        <v>7.5</v>
      </c>
      <c r="I9" s="25" t="n">
        <f aca="false">INDEX(PMO_BIBLIOTECA_25!$P$5:$P$29,MATCH($A9,PMO_BIBLIOTECA_25!$R$5:$R$29,0))</f>
        <v>70</v>
      </c>
      <c r="J9" s="7" t="str">
        <f aca="false">IF(F9&gt;=RISCO_PARAMETROS!$B$6,"Imediata (até 30 dias)",IF(F9&gt;=RISCO_PARAMETROS!$B$7,"Próximos 90 dias","Planejada (6 meses)"))</f>
        <v>Imediata (até 30 dias)</v>
      </c>
      <c r="K9" s="13" t="s">
        <v>3644</v>
      </c>
      <c r="L9" s="13"/>
      <c r="M9" s="43"/>
      <c r="N9" s="13"/>
      <c r="O9" s="7" t="str">
        <f aca="false">IF(INDEX(PMO_BIBLIOTECA_25!$I$5:$I$29,MATCH($A9,PMO_BIBLIOTECA_25!$R$5:$R$29,0))="","—",INDEX(PMO_BIBLIOTECA_25!$I$5:$I$29,MATCH($A9,PMO_BIBLIOTECA_25!$R$5:$R$29,0)))</f>
        <v>—</v>
      </c>
    </row>
    <row r="10" customFormat="false" ht="23.85" hidden="false" customHeight="false" outlineLevel="0" collapsed="false">
      <c r="A10" s="7" t="n">
        <v>6</v>
      </c>
      <c r="B10" s="7" t="str">
        <f aca="false">INDEX(PMO_BIBLIOTECA_25!$A$5:$A$29,MATCH($A10,PMO_BIBLIOTECA_25!$R$5:$R$29,0))</f>
        <v>ACT-16</v>
      </c>
      <c r="C10" s="7" t="str">
        <f aca="false">INDEX(PMO_BIBLIOTECA_25!$E$5:$E$29,MATCH($A10,PMO_BIBLIOTECA_25!$R$5:$R$29,0))</f>
        <v>Executar a due diligence dos terceiros críticos e checar as listas restritivas (CEIS/CNEP), com registro</v>
      </c>
      <c r="D10" s="7" t="str">
        <f aca="false">INDEX(PMO_BIBLIOTECA_25!$C$5:$C$29,MATCH($A10,PMO_BIBLIOTECA_25!$R$5:$R$29,0))</f>
        <v>Diligência de Terceiros e M&amp;A</v>
      </c>
      <c r="E10" s="7" t="str">
        <f aca="false">INDEX(PMO_BIBLIOTECA_25!$F$5:$F$29,MATCH($A10,PMO_BIBLIOTECA_25!$R$5:$R$29,0))</f>
        <v>RM-09</v>
      </c>
      <c r="F10" s="7" t="n">
        <f aca="false">INDEX(PMO_BIBLIOTECA_25!$N$5:$N$29,MATCH($A10,PMO_BIBLIOTECA_25!$R$5:$R$29,0))</f>
        <v>20</v>
      </c>
      <c r="G10" s="25" t="n">
        <f aca="false">INDEX(PMO_BIBLIOTECA_25!$O$5:$O$29,MATCH($A10,PMO_BIBLIOTECA_25!$R$5:$R$29,0))</f>
        <v>2.7</v>
      </c>
      <c r="H10" s="25" t="n">
        <f aca="false">INDEX(PMO_BIBLIOTECA_25!$M$5:$M$29,MATCH($A10,PMO_BIBLIOTECA_25!$R$5:$R$29,0))</f>
        <v>4.5</v>
      </c>
      <c r="I10" s="25" t="n">
        <f aca="false">INDEX(PMO_BIBLIOTECA_25!$P$5:$P$29,MATCH($A10,PMO_BIBLIOTECA_25!$R$5:$R$29,0))</f>
        <v>53.5</v>
      </c>
      <c r="J10" s="7" t="str">
        <f aca="false">IF(F10&gt;=RISCO_PARAMETROS!$B$6,"Imediata (até 30 dias)",IF(F10&gt;=RISCO_PARAMETROS!$B$7,"Próximos 90 dias","Planejada (6 meses)"))</f>
        <v>Imediata (até 30 dias)</v>
      </c>
      <c r="K10" s="13" t="s">
        <v>3644</v>
      </c>
      <c r="L10" s="13"/>
      <c r="M10" s="43"/>
      <c r="N10" s="13"/>
      <c r="O10" s="7" t="str">
        <f aca="false">IF(INDEX(PMO_BIBLIOTECA_25!$I$5:$I$29,MATCH($A10,PMO_BIBLIOTECA_25!$R$5:$R$29,0))="","—",INDEX(PMO_BIBLIOTECA_25!$I$5:$I$29,MATCH($A10,PMO_BIBLIOTECA_25!$R$5:$R$29,0)))</f>
        <v>ACT-15</v>
      </c>
    </row>
    <row r="11" customFormat="false" ht="23.85" hidden="false" customHeight="false" outlineLevel="0" collapsed="false">
      <c r="A11" s="7" t="n">
        <v>7</v>
      </c>
      <c r="B11" s="7" t="str">
        <f aca="false">INDEX(PMO_BIBLIOTECA_25!$A$5:$A$29,MATCH($A11,PMO_BIBLIOTECA_25!$R$5:$R$29,0))</f>
        <v>ACT-14</v>
      </c>
      <c r="C11" s="7" t="str">
        <f aca="false">INDEX(PMO_BIBLIOTECA_25!$E$5:$E$29,MATCH($A11,PMO_BIBLIOTECA_25!$R$5:$R$29,0))</f>
        <v>Operar o canal: triagem em 48 h, apuração, relatório periódico e sanções aplicadas (dados anonimizados)</v>
      </c>
      <c r="D11" s="7" t="str">
        <f aca="false">INDEX(PMO_BIBLIOTECA_25!$C$5:$C$29,MATCH($A11,PMO_BIBLIOTECA_25!$R$5:$R$29,0))</f>
        <v>Canal de Denúncia e Medidas Disciplinares</v>
      </c>
      <c r="E11" s="7" t="str">
        <f aca="false">INDEX(PMO_BIBLIOTECA_25!$F$5:$F$29,MATCH($A11,PMO_BIBLIOTECA_25!$R$5:$R$29,0))</f>
        <v>RM-06</v>
      </c>
      <c r="F11" s="7" t="n">
        <f aca="false">INDEX(PMO_BIBLIOTECA_25!$N$5:$N$29,MATCH($A11,PMO_BIBLIOTECA_25!$R$5:$R$29,0))</f>
        <v>20</v>
      </c>
      <c r="G11" s="25" t="n">
        <f aca="false">INDEX(PMO_BIBLIOTECA_25!$O$5:$O$29,MATCH($A11,PMO_BIBLIOTECA_25!$R$5:$R$29,0))</f>
        <v>2.6</v>
      </c>
      <c r="H11" s="25" t="n">
        <f aca="false">INDEX(PMO_BIBLIOTECA_25!$M$5:$M$29,MATCH($A11,PMO_BIBLIOTECA_25!$R$5:$R$29,0))</f>
        <v>4.5</v>
      </c>
      <c r="I11" s="25" t="n">
        <f aca="false">INDEX(PMO_BIBLIOTECA_25!$P$5:$P$29,MATCH($A11,PMO_BIBLIOTECA_25!$R$5:$R$29,0))</f>
        <v>53</v>
      </c>
      <c r="J11" s="7" t="str">
        <f aca="false">IF(F11&gt;=RISCO_PARAMETROS!$B$6,"Imediata (até 30 dias)",IF(F11&gt;=RISCO_PARAMETROS!$B$7,"Próximos 90 dias","Planejada (6 meses)"))</f>
        <v>Imediata (até 30 dias)</v>
      </c>
      <c r="K11" s="13" t="s">
        <v>3644</v>
      </c>
      <c r="L11" s="13"/>
      <c r="M11" s="43"/>
      <c r="N11" s="13"/>
      <c r="O11" s="7" t="str">
        <f aca="false">IF(INDEX(PMO_BIBLIOTECA_25!$I$5:$I$29,MATCH($A11,PMO_BIBLIOTECA_25!$R$5:$R$29,0))="","—",INDEX(PMO_BIBLIOTECA_25!$I$5:$I$29,MATCH($A11,PMO_BIBLIOTECA_25!$R$5:$R$29,0)))</f>
        <v>ACT-13</v>
      </c>
    </row>
    <row r="12" customFormat="false" ht="23.85" hidden="false" customHeight="false" outlineLevel="0" collapsed="false">
      <c r="A12" s="7" t="n">
        <v>8</v>
      </c>
      <c r="B12" s="7" t="str">
        <f aca="false">INDEX(PMO_BIBLIOTECA_25!$A$5:$A$29,MATCH($A12,PMO_BIBLIOTECA_25!$R$5:$R$29,0))</f>
        <v>ACT-11</v>
      </c>
      <c r="C12" s="7" t="str">
        <f aca="false">INDEX(PMO_BIBLIOTECA_25!$E$5:$E$29,MATCH($A12,PMO_BIBLIOTECA_25!$R$5:$R$29,0))</f>
        <v>Formalizar os controles contábeis e financeiros anticorrupção: segregação de funções, alçadas e contas de risco</v>
      </c>
      <c r="D12" s="7" t="str">
        <f aca="false">INDEX(PMO_BIBLIOTECA_25!$C$5:$C$29,MATCH($A12,PMO_BIBLIOTECA_25!$R$5:$R$29,0))</f>
        <v>Controles Contábeis, Financeiros e Auditoria</v>
      </c>
      <c r="E12" s="7" t="str">
        <f aca="false">INDEX(PMO_BIBLIOTECA_25!$F$5:$F$29,MATCH($A12,PMO_BIBLIOTECA_25!$R$5:$R$29,0))</f>
        <v>RM-08</v>
      </c>
      <c r="F12" s="7" t="n">
        <f aca="false">INDEX(PMO_BIBLIOTECA_25!$N$5:$N$29,MATCH($A12,PMO_BIBLIOTECA_25!$R$5:$R$29,0))</f>
        <v>15</v>
      </c>
      <c r="G12" s="25" t="n">
        <f aca="false">INDEX(PMO_BIBLIOTECA_25!$O$5:$O$29,MATCH($A12,PMO_BIBLIOTECA_25!$R$5:$R$29,0))</f>
        <v>3.1</v>
      </c>
      <c r="H12" s="25" t="n">
        <f aca="false">INDEX(PMO_BIBLIOTECA_25!$M$5:$M$29,MATCH($A12,PMO_BIBLIOTECA_25!$R$5:$R$29,0))</f>
        <v>3.5</v>
      </c>
      <c r="I12" s="25" t="n">
        <f aca="false">INDEX(PMO_BIBLIOTECA_25!$P$5:$P$29,MATCH($A12,PMO_BIBLIOTECA_25!$R$5:$R$29,0))</f>
        <v>45.5</v>
      </c>
      <c r="J12" s="7" t="str">
        <f aca="false">IF(F12&gt;=RISCO_PARAMETROS!$B$6,"Imediata (até 30 dias)",IF(F12&gt;=RISCO_PARAMETROS!$B$7,"Próximos 90 dias","Planejada (6 meses)"))</f>
        <v>Próximos 90 dias</v>
      </c>
      <c r="K12" s="13" t="s">
        <v>3644</v>
      </c>
      <c r="L12" s="13"/>
      <c r="M12" s="43"/>
      <c r="N12" s="13"/>
      <c r="O12" s="7" t="str">
        <f aca="false">IF(INDEX(PMO_BIBLIOTECA_25!$I$5:$I$29,MATCH($A12,PMO_BIBLIOTECA_25!$R$5:$R$29,0))="","—",INDEX(PMO_BIBLIOTECA_25!$I$5:$I$29,MATCH($A12,PMO_BIBLIOTECA_25!$R$5:$R$29,0)))</f>
        <v>—</v>
      </c>
    </row>
    <row r="13" customFormat="false" ht="23.85" hidden="false" customHeight="false" outlineLevel="0" collapsed="false">
      <c r="A13" s="7" t="n">
        <v>9</v>
      </c>
      <c r="B13" s="7" t="str">
        <f aca="false">INDEX(PMO_BIBLIOTECA_25!$A$5:$A$29,MATCH($A13,PMO_BIBLIOTECA_25!$R$5:$R$29,0))</f>
        <v>ACT-13</v>
      </c>
      <c r="C13" s="7" t="str">
        <f aca="false">INDEX(PMO_BIBLIOTECA_25!$E$5:$E$29,MATCH($A13,PMO_BIBLIOTECA_25!$R$5:$R$29,0))</f>
        <v>Estruturar o canal de denúncias: sigilo e anonimato, protocolo de apuração com prazos, proteção ao denunciante e medidas disciplinares</v>
      </c>
      <c r="D13" s="7" t="str">
        <f aca="false">INDEX(PMO_BIBLIOTECA_25!$C$5:$C$29,MATCH($A13,PMO_BIBLIOTECA_25!$R$5:$R$29,0))</f>
        <v>Canal de Denúncia e Medidas Disciplinares</v>
      </c>
      <c r="E13" s="7" t="str">
        <f aca="false">INDEX(PMO_BIBLIOTECA_25!$F$5:$F$29,MATCH($A13,PMO_BIBLIOTECA_25!$R$5:$R$29,0))</f>
        <v>RM-06</v>
      </c>
      <c r="F13" s="7" t="n">
        <f aca="false">INDEX(PMO_BIBLIOTECA_25!$N$5:$N$29,MATCH($A13,PMO_BIBLIOTECA_25!$R$5:$R$29,0))</f>
        <v>20</v>
      </c>
      <c r="G13" s="25" t="n">
        <f aca="false">INDEX(PMO_BIBLIOTECA_25!$O$5:$O$29,MATCH($A13,PMO_BIBLIOTECA_25!$R$5:$R$29,0))</f>
        <v>6.4</v>
      </c>
      <c r="H13" s="25" t="n">
        <f aca="false">INDEX(PMO_BIBLIOTECA_25!$M$5:$M$29,MATCH($A13,PMO_BIBLIOTECA_25!$R$5:$R$29,0))</f>
        <v>8.5</v>
      </c>
      <c r="I13" s="25" t="n">
        <f aca="false">INDEX(PMO_BIBLIOTECA_25!$P$5:$P$29,MATCH($A13,PMO_BIBLIOTECA_25!$R$5:$R$29,0))</f>
        <v>70</v>
      </c>
      <c r="J13" s="7" t="str">
        <f aca="false">IF(F13&gt;=RISCO_PARAMETROS!$B$6,"Imediata (até 30 dias)",IF(F13&gt;=RISCO_PARAMETROS!$B$7,"Próximos 90 dias","Planejada (6 meses)"))</f>
        <v>Imediata (até 30 dias)</v>
      </c>
      <c r="K13" s="13" t="s">
        <v>3644</v>
      </c>
      <c r="L13" s="13"/>
      <c r="M13" s="43"/>
      <c r="N13" s="13"/>
      <c r="O13" s="7" t="str">
        <f aca="false">IF(INDEX(PMO_BIBLIOTECA_25!$I$5:$I$29,MATCH($A13,PMO_BIBLIOTECA_25!$R$5:$R$29,0))="","—",INDEX(PMO_BIBLIOTECA_25!$I$5:$I$29,MATCH($A13,PMO_BIBLIOTECA_25!$R$5:$R$29,0)))</f>
        <v>—</v>
      </c>
    </row>
    <row r="14" customFormat="false" ht="23.85" hidden="false" customHeight="false" outlineLevel="0" collapsed="false">
      <c r="A14" s="7" t="n">
        <v>10</v>
      </c>
      <c r="B14" s="7" t="str">
        <f aca="false">INDEX(PMO_BIBLIOTECA_25!$A$5:$A$29,MATCH($A14,PMO_BIBLIOTECA_25!$R$5:$R$29,0))</f>
        <v>ACT-06</v>
      </c>
      <c r="C14" s="7" t="str">
        <f aca="false">INDEX(PMO_BIBLIOTECA_25!$E$5:$E$29,MATCH($A14,PMO_BIBLIOTECA_25!$R$5:$R$29,0))</f>
        <v>Executar e documentar a análise de riscos de integridade (matriz) e o plano de tratamento</v>
      </c>
      <c r="D14" s="7" t="str">
        <f aca="false">INDEX(PMO_BIBLIOTECA_25!$C$5:$C$29,MATCH($A14,PMO_BIBLIOTECA_25!$R$5:$R$29,0))</f>
        <v>Gestão de Riscos para a Integridade</v>
      </c>
      <c r="E14" s="7" t="str">
        <f aca="false">INDEX(PMO_BIBLIOTECA_25!$F$5:$F$29,MATCH($A14,PMO_BIBLIOTECA_25!$R$5:$R$29,0))</f>
        <v>RM-03</v>
      </c>
      <c r="F14" s="7" t="n">
        <f aca="false">INDEX(PMO_BIBLIOTECA_25!$N$5:$N$29,MATCH($A14,PMO_BIBLIOTECA_25!$R$5:$R$29,0))</f>
        <v>16</v>
      </c>
      <c r="G14" s="25" t="n">
        <f aca="false">INDEX(PMO_BIBLIOTECA_25!$O$5:$O$29,MATCH($A14,PMO_BIBLIOTECA_25!$R$5:$R$29,0))</f>
        <v>7.5</v>
      </c>
      <c r="H14" s="25" t="n">
        <f aca="false">INDEX(PMO_BIBLIOTECA_25!$M$5:$M$29,MATCH($A14,PMO_BIBLIOTECA_25!$R$5:$R$29,0))</f>
        <v>7</v>
      </c>
      <c r="I14" s="25" t="n">
        <f aca="false">INDEX(PMO_BIBLIOTECA_25!$P$5:$P$29,MATCH($A14,PMO_BIBLIOTECA_25!$R$5:$R$29,0))</f>
        <v>62</v>
      </c>
      <c r="J14" s="7" t="str">
        <f aca="false">IF(F14&gt;=RISCO_PARAMETROS!$B$6,"Imediata (até 30 dias)",IF(F14&gt;=RISCO_PARAMETROS!$B$7,"Próximos 90 dias","Planejada (6 meses)"))</f>
        <v>Próximos 90 dias</v>
      </c>
      <c r="K14" s="13" t="s">
        <v>3644</v>
      </c>
      <c r="L14" s="13"/>
      <c r="M14" s="43"/>
      <c r="N14" s="13"/>
      <c r="O14" s="7" t="str">
        <f aca="false">IF(INDEX(PMO_BIBLIOTECA_25!$I$5:$I$29,MATCH($A14,PMO_BIBLIOTECA_25!$R$5:$R$29,0))="","—",INDEX(PMO_BIBLIOTECA_25!$I$5:$I$29,MATCH($A14,PMO_BIBLIOTECA_25!$R$5:$R$29,0)))</f>
        <v>ACT-05</v>
      </c>
    </row>
    <row r="15" customFormat="false" ht="23.85" hidden="false" customHeight="false" outlineLevel="0" collapsed="false">
      <c r="A15" s="7" t="n">
        <v>11</v>
      </c>
      <c r="B15" s="7" t="str">
        <f aca="false">INDEX(PMO_BIBLIOTECA_25!$A$5:$A$29,MATCH($A15,PMO_BIBLIOTECA_25!$R$5:$R$29,0))</f>
        <v>ACT-02</v>
      </c>
      <c r="C15" s="7" t="str">
        <f aca="false">INDEX(PMO_BIBLIOTECA_25!$E$5:$E$29,MATCH($A15,PMO_BIBLIOTECA_25!$R$5:$R$29,0))</f>
        <v>Instituir o rito trimestral de supervisão do programa pela alta direção (pauta, ata, relatório e presença) e guardar a evidência de cada ciclo</v>
      </c>
      <c r="D15" s="7" t="str">
        <f aca="false">INDEX(PMO_BIBLIOTECA_25!$C$5:$C$29,MATCH($A15,PMO_BIBLIOTECA_25!$R$5:$R$29,0))</f>
        <v>Comprometimento da Alta Direção</v>
      </c>
      <c r="E15" s="7" t="str">
        <f aca="false">INDEX(PMO_BIBLIOTECA_25!$F$5:$F$29,MATCH($A15,PMO_BIBLIOTECA_25!$R$5:$R$29,0))</f>
        <v>RM-01</v>
      </c>
      <c r="F15" s="7" t="n">
        <f aca="false">INDEX(PMO_BIBLIOTECA_25!$N$5:$N$29,MATCH($A15,PMO_BIBLIOTECA_25!$R$5:$R$29,0))</f>
        <v>20</v>
      </c>
      <c r="G15" s="25" t="n">
        <f aca="false">INDEX(PMO_BIBLIOTECA_25!$O$5:$O$29,MATCH($A15,PMO_BIBLIOTECA_25!$R$5:$R$29,0))</f>
        <v>10</v>
      </c>
      <c r="H15" s="25" t="n">
        <f aca="false">INDEX(PMO_BIBLIOTECA_25!$M$5:$M$29,MATCH($A15,PMO_BIBLIOTECA_25!$R$5:$R$29,0))</f>
        <v>9.5</v>
      </c>
      <c r="I15" s="25" t="n">
        <f aca="false">INDEX(PMO_BIBLIOTECA_25!$P$5:$P$29,MATCH($A15,PMO_BIBLIOTECA_25!$R$5:$R$29,0))</f>
        <v>70</v>
      </c>
      <c r="J15" s="7" t="str">
        <f aca="false">IF(F15&gt;=RISCO_PARAMETROS!$B$6,"Imediata (até 30 dias)",IF(F15&gt;=RISCO_PARAMETROS!$B$7,"Próximos 90 dias","Planejada (6 meses)"))</f>
        <v>Imediata (até 30 dias)</v>
      </c>
      <c r="K15" s="13" t="s">
        <v>3644</v>
      </c>
      <c r="L15" s="13"/>
      <c r="M15" s="43"/>
      <c r="N15" s="13"/>
      <c r="O15" s="7" t="str">
        <f aca="false">IF(INDEX(PMO_BIBLIOTECA_25!$I$5:$I$29,MATCH($A15,PMO_BIBLIOTECA_25!$R$5:$R$29,0))="","—",INDEX(PMO_BIBLIOTECA_25!$I$5:$I$29,MATCH($A15,PMO_BIBLIOTECA_25!$R$5:$R$29,0)))</f>
        <v>—</v>
      </c>
    </row>
    <row r="16" customFormat="false" ht="23.85" hidden="false" customHeight="false" outlineLevel="0" collapsed="false">
      <c r="A16" s="7" t="n">
        <v>12</v>
      </c>
      <c r="B16" s="7" t="str">
        <f aca="false">INDEX(PMO_BIBLIOTECA_25!$A$5:$A$29,MATCH($A16,PMO_BIBLIOTECA_25!$R$5:$R$29,0))</f>
        <v>ACT-18</v>
      </c>
      <c r="C16" s="7" t="str">
        <f aca="false">INDEX(PMO_BIBLIOTECA_25!$E$5:$E$29,MATCH($A16,PMO_BIBLIOTECA_25!$R$5:$R$29,0))</f>
        <v>Formalizar e publicar a transparência: compromissos socioambientais, doações e patrocínios com alçada de aprovação</v>
      </c>
      <c r="D16" s="7" t="str">
        <f aca="false">INDEX(PMO_BIBLIOTECA_25!$C$5:$C$29,MATCH($A16,PMO_BIBLIOTECA_25!$R$5:$R$29,0))</f>
        <v>Transparência e Responsabilidade Socioambiental</v>
      </c>
      <c r="E16" s="7" t="str">
        <f aca="false">INDEX(PMO_BIBLIOTECA_25!$F$5:$F$29,MATCH($A16,PMO_BIBLIOTECA_25!$R$5:$R$29,0))</f>
        <v>RM-07</v>
      </c>
      <c r="F16" s="7" t="n">
        <f aca="false">INDEX(PMO_BIBLIOTECA_25!$N$5:$N$29,MATCH($A16,PMO_BIBLIOTECA_25!$R$5:$R$29,0))</f>
        <v>12</v>
      </c>
      <c r="G16" s="25" t="n">
        <f aca="false">INDEX(PMO_BIBLIOTECA_25!$O$5:$O$29,MATCH($A16,PMO_BIBLIOTECA_25!$R$5:$R$29,0))</f>
        <v>5</v>
      </c>
      <c r="H16" s="25" t="n">
        <f aca="false">INDEX(PMO_BIBLIOTECA_25!$M$5:$M$29,MATCH($A16,PMO_BIBLIOTECA_25!$R$5:$R$29,0))</f>
        <v>5</v>
      </c>
      <c r="I16" s="25" t="n">
        <f aca="false">INDEX(PMO_BIBLIOTECA_25!$P$5:$P$29,MATCH($A16,PMO_BIBLIOTECA_25!$R$5:$R$29,0))</f>
        <v>49</v>
      </c>
      <c r="J16" s="7" t="str">
        <f aca="false">IF(F16&gt;=RISCO_PARAMETROS!$B$6,"Imediata (até 30 dias)",IF(F16&gt;=RISCO_PARAMETROS!$B$7,"Próximos 90 dias","Planejada (6 meses)"))</f>
        <v>Próximos 90 dias</v>
      </c>
      <c r="K16" s="13" t="s">
        <v>3644</v>
      </c>
      <c r="L16" s="13"/>
      <c r="M16" s="43"/>
      <c r="N16" s="13"/>
      <c r="O16" s="7" t="str">
        <f aca="false">IF(INDEX(PMO_BIBLIOTECA_25!$I$5:$I$29,MATCH($A16,PMO_BIBLIOTECA_25!$R$5:$R$29,0))="","—",INDEX(PMO_BIBLIOTECA_25!$I$5:$I$29,MATCH($A16,PMO_BIBLIOTECA_25!$R$5:$R$29,0)))</f>
        <v>—</v>
      </c>
    </row>
    <row r="17" customFormat="false" ht="23.85" hidden="false" customHeight="false" outlineLevel="0" collapsed="false">
      <c r="A17" s="7" t="n">
        <v>13</v>
      </c>
      <c r="B17" s="7" t="str">
        <f aca="false">INDEX(PMO_BIBLIOTECA_25!$A$5:$A$29,MATCH($A17,PMO_BIBLIOTECA_25!$R$5:$R$29,0))</f>
        <v>ACT-04</v>
      </c>
      <c r="C17" s="7" t="str">
        <f aca="false">INDEX(PMO_BIBLIOTECA_25!$E$5:$E$29,MATCH($A17,PMO_BIBLIOTECA_25!$R$5:$R$29,0))</f>
        <v>Registrar a atuação da instância: relatórios periódicos e reuniões com a alta direção</v>
      </c>
      <c r="D17" s="7" t="str">
        <f aca="false">INDEX(PMO_BIBLIOTECA_25!$C$5:$C$29,MATCH($A17,PMO_BIBLIOTECA_25!$R$5:$R$29,0))</f>
        <v>Instância Responsável pelo Programa</v>
      </c>
      <c r="E17" s="7" t="str">
        <f aca="false">INDEX(PMO_BIBLIOTECA_25!$F$5:$F$29,MATCH($A17,PMO_BIBLIOTECA_25!$R$5:$R$29,0))</f>
        <v>RM-02</v>
      </c>
      <c r="F17" s="7" t="n">
        <f aca="false">INDEX(PMO_BIBLIOTECA_25!$N$5:$N$29,MATCH($A17,PMO_BIBLIOTECA_25!$R$5:$R$29,0))</f>
        <v>15</v>
      </c>
      <c r="G17" s="25" t="n">
        <f aca="false">INDEX(PMO_BIBLIOTECA_25!$O$5:$O$29,MATCH($A17,PMO_BIBLIOTECA_25!$R$5:$R$29,0))</f>
        <v>2.6</v>
      </c>
      <c r="H17" s="25" t="n">
        <f aca="false">INDEX(PMO_BIBLIOTECA_25!$M$5:$M$29,MATCH($A17,PMO_BIBLIOTECA_25!$R$5:$R$29,0))</f>
        <v>4</v>
      </c>
      <c r="I17" s="25" t="n">
        <f aca="false">INDEX(PMO_BIBLIOTECA_25!$P$5:$P$29,MATCH($A17,PMO_BIBLIOTECA_25!$R$5:$R$29,0))</f>
        <v>43</v>
      </c>
      <c r="J17" s="7" t="str">
        <f aca="false">IF(F17&gt;=RISCO_PARAMETROS!$B$6,"Imediata (até 30 dias)",IF(F17&gt;=RISCO_PARAMETROS!$B$7,"Próximos 90 dias","Planejada (6 meses)"))</f>
        <v>Próximos 90 dias</v>
      </c>
      <c r="K17" s="13" t="s">
        <v>3644</v>
      </c>
      <c r="L17" s="13"/>
      <c r="M17" s="43"/>
      <c r="N17" s="13"/>
      <c r="O17" s="7" t="str">
        <f aca="false">IF(INDEX(PMO_BIBLIOTECA_25!$I$5:$I$29,MATCH($A17,PMO_BIBLIOTECA_25!$R$5:$R$29,0))="","—",INDEX(PMO_BIBLIOTECA_25!$I$5:$I$29,MATCH($A17,PMO_BIBLIOTECA_25!$R$5:$R$29,0)))</f>
        <v>ACT-03</v>
      </c>
    </row>
    <row r="18" customFormat="false" ht="23.85" hidden="false" customHeight="false" outlineLevel="0" collapsed="false">
      <c r="A18" s="7" t="n">
        <v>14</v>
      </c>
      <c r="B18" s="7" t="str">
        <f aca="false">INDEX(PMO_BIBLIOTECA_25!$A$5:$A$29,MATCH($A18,PMO_BIBLIOTECA_25!$R$5:$R$29,0))</f>
        <v>ACT-12</v>
      </c>
      <c r="C18" s="7" t="str">
        <f aca="false">INDEX(PMO_BIBLIOTECA_25!$E$5:$E$29,MATCH($A18,PMO_BIBLIOTECA_25!$R$5:$R$29,0))</f>
        <v>Testar os controles financeiros e auditar as contas de risco no período, registrando as exceções</v>
      </c>
      <c r="D18" s="7" t="str">
        <f aca="false">INDEX(PMO_BIBLIOTECA_25!$C$5:$C$29,MATCH($A18,PMO_BIBLIOTECA_25!$R$5:$R$29,0))</f>
        <v>Controles Contábeis, Financeiros e Auditoria</v>
      </c>
      <c r="E18" s="7" t="str">
        <f aca="false">INDEX(PMO_BIBLIOTECA_25!$F$5:$F$29,MATCH($A18,PMO_BIBLIOTECA_25!$R$5:$R$29,0))</f>
        <v>RM-08</v>
      </c>
      <c r="F18" s="7" t="n">
        <f aca="false">INDEX(PMO_BIBLIOTECA_25!$N$5:$N$29,MATCH($A18,PMO_BIBLIOTECA_25!$R$5:$R$29,0))</f>
        <v>15</v>
      </c>
      <c r="G18" s="25" t="n">
        <f aca="false">INDEX(PMO_BIBLIOTECA_25!$O$5:$O$29,MATCH($A18,PMO_BIBLIOTECA_25!$R$5:$R$29,0))</f>
        <v>2.9</v>
      </c>
      <c r="H18" s="25" t="n">
        <f aca="false">INDEX(PMO_BIBLIOTECA_25!$M$5:$M$29,MATCH($A18,PMO_BIBLIOTECA_25!$R$5:$R$29,0))</f>
        <v>5</v>
      </c>
      <c r="I18" s="25" t="n">
        <f aca="false">INDEX(PMO_BIBLIOTECA_25!$P$5:$P$29,MATCH($A18,PMO_BIBLIOTECA_25!$R$5:$R$29,0))</f>
        <v>44.5</v>
      </c>
      <c r="J18" s="7" t="str">
        <f aca="false">IF(F18&gt;=RISCO_PARAMETROS!$B$6,"Imediata (até 30 dias)",IF(F18&gt;=RISCO_PARAMETROS!$B$7,"Próximos 90 dias","Planejada (6 meses)"))</f>
        <v>Próximos 90 dias</v>
      </c>
      <c r="K18" s="13" t="s">
        <v>3644</v>
      </c>
      <c r="L18" s="13"/>
      <c r="M18" s="43"/>
      <c r="N18" s="13"/>
      <c r="O18" s="7" t="str">
        <f aca="false">IF(INDEX(PMO_BIBLIOTECA_25!$I$5:$I$29,MATCH($A18,PMO_BIBLIOTECA_25!$R$5:$R$29,0))="","—",INDEX(PMO_BIBLIOTECA_25!$I$5:$I$29,MATCH($A18,PMO_BIBLIOTECA_25!$R$5:$R$29,0)))</f>
        <v>ACT-11</v>
      </c>
    </row>
    <row r="19" customFormat="false" ht="23.85" hidden="false" customHeight="false" outlineLevel="0" collapsed="false">
      <c r="A19" s="7" t="n">
        <v>15</v>
      </c>
      <c r="B19" s="7" t="str">
        <f aca="false">INDEX(PMO_BIBLIOTECA_25!$A$5:$A$29,MATCH($A19,PMO_BIBLIOTECA_25!$R$5:$R$29,0))</f>
        <v>ACT-09</v>
      </c>
      <c r="C19" s="7" t="str">
        <f aca="false">INDEX(PMO_BIBLIOTECA_25!$E$5:$E$29,MATCH($A19,PMO_BIBLIOTECA_25!$R$5:$R$29,0))</f>
        <v>Elaborar o plano de treinamento e comunicação de integridade (conteúdo, público, periodicidade e canais)</v>
      </c>
      <c r="D19" s="7" t="str">
        <f aca="false">INDEX(PMO_BIBLIOTECA_25!$C$5:$C$29,MATCH($A19,PMO_BIBLIOTECA_25!$R$5:$R$29,0))</f>
        <v>Treinamento e Comunicação</v>
      </c>
      <c r="E19" s="7" t="str">
        <f aca="false">INDEX(PMO_BIBLIOTECA_25!$F$5:$F$29,MATCH($A19,PMO_BIBLIOTECA_25!$R$5:$R$29,0))</f>
        <v>RM-05</v>
      </c>
      <c r="F19" s="7" t="n">
        <f aca="false">INDEX(PMO_BIBLIOTECA_25!$N$5:$N$29,MATCH($A19,PMO_BIBLIOTECA_25!$R$5:$R$29,0))</f>
        <v>12</v>
      </c>
      <c r="G19" s="25" t="n">
        <f aca="false">INDEX(PMO_BIBLIOTECA_25!$O$5:$O$29,MATCH($A19,PMO_BIBLIOTECA_25!$R$5:$R$29,0))</f>
        <v>3.7</v>
      </c>
      <c r="H19" s="25" t="n">
        <f aca="false">INDEX(PMO_BIBLIOTECA_25!$M$5:$M$29,MATCH($A19,PMO_BIBLIOTECA_25!$R$5:$R$29,0))</f>
        <v>5</v>
      </c>
      <c r="I19" s="25" t="n">
        <f aca="false">INDEX(PMO_BIBLIOTECA_25!$P$5:$P$29,MATCH($A19,PMO_BIBLIOTECA_25!$R$5:$R$29,0))</f>
        <v>42.5</v>
      </c>
      <c r="J19" s="7" t="str">
        <f aca="false">IF(F19&gt;=RISCO_PARAMETROS!$B$6,"Imediata (até 30 dias)",IF(F19&gt;=RISCO_PARAMETROS!$B$7,"Próximos 90 dias","Planejada (6 meses)"))</f>
        <v>Próximos 90 dias</v>
      </c>
      <c r="K19" s="13" t="s">
        <v>3644</v>
      </c>
      <c r="L19" s="13"/>
      <c r="M19" s="43"/>
      <c r="N19" s="13"/>
      <c r="O19" s="7" t="str">
        <f aca="false">IF(INDEX(PMO_BIBLIOTECA_25!$I$5:$I$29,MATCH($A19,PMO_BIBLIOTECA_25!$R$5:$R$29,0))="","—",INDEX(PMO_BIBLIOTECA_25!$I$5:$I$29,MATCH($A19,PMO_BIBLIOTECA_25!$R$5:$R$29,0)))</f>
        <v>—</v>
      </c>
    </row>
    <row r="20" customFormat="false" ht="23.85" hidden="false" customHeight="false" outlineLevel="0" collapsed="false">
      <c r="A20" s="7" t="n">
        <v>16</v>
      </c>
      <c r="B20" s="7" t="str">
        <f aca="false">INDEX(PMO_BIBLIOTECA_25!$A$5:$A$29,MATCH($A20,PMO_BIBLIOTECA_25!$R$5:$R$29,0))</f>
        <v>ACT-07</v>
      </c>
      <c r="C20" s="7" t="str">
        <f aca="false">INDEX(PMO_BIBLIOTECA_25!$E$5:$E$29,MATCH($A20,PMO_BIBLIOTECA_25!$R$5:$R$29,0))</f>
        <v>Revisar e aprovar o Código de Ética e as políticas essenciais, com versão, vigência e alcance</v>
      </c>
      <c r="D20" s="7" t="str">
        <f aca="false">INDEX(PMO_BIBLIOTECA_25!$C$5:$C$29,MATCH($A20,PMO_BIBLIOTECA_25!$R$5:$R$29,0))</f>
        <v>Código de Ética, Políticas e Procedimentos</v>
      </c>
      <c r="E20" s="7" t="str">
        <f aca="false">INDEX(PMO_BIBLIOTECA_25!$F$5:$F$29,MATCH($A20,PMO_BIBLIOTECA_25!$R$5:$R$29,0))</f>
        <v>RM-04</v>
      </c>
      <c r="F20" s="7" t="n">
        <f aca="false">INDEX(PMO_BIBLIOTECA_25!$N$5:$N$29,MATCH($A20,PMO_BIBLIOTECA_25!$R$5:$R$29,0))</f>
        <v>16</v>
      </c>
      <c r="G20" s="25" t="n">
        <f aca="false">INDEX(PMO_BIBLIOTECA_25!$O$5:$O$29,MATCH($A20,PMO_BIBLIOTECA_25!$R$5:$R$29,0))</f>
        <v>11.9</v>
      </c>
      <c r="H20" s="25" t="n">
        <f aca="false">INDEX(PMO_BIBLIOTECA_25!$M$5:$M$29,MATCH($A20,PMO_BIBLIOTECA_25!$R$5:$R$29,0))</f>
        <v>13.5</v>
      </c>
      <c r="I20" s="25" t="n">
        <f aca="false">INDEX(PMO_BIBLIOTECA_25!$P$5:$P$29,MATCH($A20,PMO_BIBLIOTECA_25!$R$5:$R$29,0))</f>
        <v>62</v>
      </c>
      <c r="J20" s="7" t="str">
        <f aca="false">IF(F20&gt;=RISCO_PARAMETROS!$B$6,"Imediata (até 30 dias)",IF(F20&gt;=RISCO_PARAMETROS!$B$7,"Próximos 90 dias","Planejada (6 meses)"))</f>
        <v>Próximos 90 dias</v>
      </c>
      <c r="K20" s="13" t="s">
        <v>3644</v>
      </c>
      <c r="L20" s="13"/>
      <c r="M20" s="43"/>
      <c r="N20" s="13"/>
      <c r="O20" s="7" t="str">
        <f aca="false">IF(INDEX(PMO_BIBLIOTECA_25!$I$5:$I$29,MATCH($A20,PMO_BIBLIOTECA_25!$R$5:$R$29,0))="","—",INDEX(PMO_BIBLIOTECA_25!$I$5:$I$29,MATCH($A20,PMO_BIBLIOTECA_25!$R$5:$R$29,0)))</f>
        <v>—</v>
      </c>
    </row>
    <row r="21" customFormat="false" ht="23.85" hidden="false" customHeight="false" outlineLevel="0" collapsed="false">
      <c r="A21" s="7" t="n">
        <v>17</v>
      </c>
      <c r="B21" s="7" t="str">
        <f aca="false">INDEX(PMO_BIBLIOTECA_25!$A$5:$A$29,MATCH($A21,PMO_BIBLIOTECA_25!$R$5:$R$29,0))</f>
        <v>ACT-17</v>
      </c>
      <c r="C21" s="7" t="str">
        <f aca="false">INDEX(PMO_BIBLIOTECA_25!$E$5:$E$29,MATCH($A21,PMO_BIBLIOTECA_25!$R$5:$R$29,0))</f>
        <v>Montar o painel de indicadores e realizar a auditoria interna anual do programa, com plano de melhoria</v>
      </c>
      <c r="D21" s="7" t="str">
        <f aca="false">INDEX(PMO_BIBLIOTECA_25!$C$5:$C$29,MATCH($A21,PMO_BIBLIOTECA_25!$R$5:$R$29,0))</f>
        <v>Monitoramento do Programa</v>
      </c>
      <c r="E21" s="7" t="str">
        <f aca="false">INDEX(PMO_BIBLIOTECA_25!$F$5:$F$29,MATCH($A21,PMO_BIBLIOTECA_25!$R$5:$R$29,0))</f>
        <v>RM-10</v>
      </c>
      <c r="F21" s="7" t="n">
        <f aca="false">INDEX(PMO_BIBLIOTECA_25!$N$5:$N$29,MATCH($A21,PMO_BIBLIOTECA_25!$R$5:$R$29,0))</f>
        <v>9</v>
      </c>
      <c r="G21" s="25" t="n">
        <f aca="false">INDEX(PMO_BIBLIOTECA_25!$O$5:$O$29,MATCH($A21,PMO_BIBLIOTECA_25!$R$5:$R$29,0))</f>
        <v>5</v>
      </c>
      <c r="H21" s="25" t="n">
        <f aca="false">INDEX(PMO_BIBLIOTECA_25!$M$5:$M$29,MATCH($A21,PMO_BIBLIOTECA_25!$R$5:$R$29,0))</f>
        <v>6.5</v>
      </c>
      <c r="I21" s="25" t="n">
        <f aca="false">INDEX(PMO_BIBLIOTECA_25!$P$5:$P$29,MATCH($A21,PMO_BIBLIOTECA_25!$R$5:$R$29,0))</f>
        <v>43</v>
      </c>
      <c r="J21" s="7" t="str">
        <f aca="false">IF(F21&gt;=RISCO_PARAMETROS!$B$6,"Imediata (até 30 dias)",IF(F21&gt;=RISCO_PARAMETROS!$B$7,"Próximos 90 dias","Planejada (6 meses)"))</f>
        <v>Planejada (6 meses)</v>
      </c>
      <c r="K21" s="13" t="s">
        <v>3644</v>
      </c>
      <c r="L21" s="13"/>
      <c r="M21" s="43"/>
      <c r="N21" s="13"/>
      <c r="O21" s="7" t="str">
        <f aca="false">IF(INDEX(PMO_BIBLIOTECA_25!$I$5:$I$29,MATCH($A21,PMO_BIBLIOTECA_25!$R$5:$R$29,0))="","—",INDEX(PMO_BIBLIOTECA_25!$I$5:$I$29,MATCH($A21,PMO_BIBLIOTECA_25!$R$5:$R$29,0)))</f>
        <v>—</v>
      </c>
    </row>
    <row r="22" customFormat="false" ht="23.85" hidden="false" customHeight="false" outlineLevel="0" collapsed="false">
      <c r="A22" s="7" t="n">
        <v>18</v>
      </c>
      <c r="B22" s="7" t="str">
        <f aca="false">INDEX(PMO_BIBLIOTECA_25!$A$5:$A$29,MATCH($A22,PMO_BIBLIOTECA_25!$R$5:$R$29,0))</f>
        <v>ACT-10</v>
      </c>
      <c r="C22" s="7" t="str">
        <f aca="false">INDEX(PMO_BIBLIOTECA_25!$E$5:$E$29,MATCH($A22,PMO_BIBLIOTECA_25!$R$5:$R$29,0))</f>
        <v>Executar a trilha anual de treinamento, com lista de presença, teste e público-alvo (inclui alta direção e terceiros)</v>
      </c>
      <c r="D22" s="7" t="str">
        <f aca="false">INDEX(PMO_BIBLIOTECA_25!$C$5:$C$29,MATCH($A22,PMO_BIBLIOTECA_25!$R$5:$R$29,0))</f>
        <v>Treinamento e Comunicação</v>
      </c>
      <c r="E22" s="7" t="str">
        <f aca="false">INDEX(PMO_BIBLIOTECA_25!$F$5:$F$29,MATCH($A22,PMO_BIBLIOTECA_25!$R$5:$R$29,0))</f>
        <v>RM-05</v>
      </c>
      <c r="F22" s="7" t="n">
        <f aca="false">INDEX(PMO_BIBLIOTECA_25!$N$5:$N$29,MATCH($A22,PMO_BIBLIOTECA_25!$R$5:$R$29,0))</f>
        <v>12</v>
      </c>
      <c r="G22" s="25" t="n">
        <f aca="false">INDEX(PMO_BIBLIOTECA_25!$O$5:$O$29,MATCH($A22,PMO_BIBLIOTECA_25!$R$5:$R$29,0))</f>
        <v>7.3</v>
      </c>
      <c r="H22" s="25" t="n">
        <f aca="false">INDEX(PMO_BIBLIOTECA_25!$M$5:$M$29,MATCH($A22,PMO_BIBLIOTECA_25!$R$5:$R$29,0))</f>
        <v>11</v>
      </c>
      <c r="I22" s="25" t="n">
        <f aca="false">INDEX(PMO_BIBLIOTECA_25!$P$5:$P$29,MATCH($A22,PMO_BIBLIOTECA_25!$R$5:$R$29,0))</f>
        <v>54</v>
      </c>
      <c r="J22" s="7" t="str">
        <f aca="false">IF(F22&gt;=RISCO_PARAMETROS!$B$6,"Imediata (até 30 dias)",IF(F22&gt;=RISCO_PARAMETROS!$B$7,"Próximos 90 dias","Planejada (6 meses)"))</f>
        <v>Próximos 90 dias</v>
      </c>
      <c r="K22" s="13" t="s">
        <v>3644</v>
      </c>
      <c r="L22" s="13"/>
      <c r="M22" s="43"/>
      <c r="N22" s="13"/>
      <c r="O22" s="7" t="str">
        <f aca="false">IF(INDEX(PMO_BIBLIOTECA_25!$I$5:$I$29,MATCH($A22,PMO_BIBLIOTECA_25!$R$5:$R$29,0))="","—",INDEX(PMO_BIBLIOTECA_25!$I$5:$I$29,MATCH($A22,PMO_BIBLIOTECA_25!$R$5:$R$29,0)))</f>
        <v>ACT-09</v>
      </c>
    </row>
    <row r="23" customFormat="false" ht="23.85" hidden="false" customHeight="false" outlineLevel="0" collapsed="false">
      <c r="A23" s="7" t="n">
        <v>19</v>
      </c>
      <c r="B23" s="7" t="str">
        <f aca="false">INDEX(PMO_BIBLIOTECA_25!$A$5:$A$29,MATCH($A23,PMO_BIBLIOTECA_25!$R$5:$R$29,0))</f>
        <v>ACT-19</v>
      </c>
      <c r="C23" s="7" t="str">
        <f aca="false">INDEX(PMO_BIBLIOTECA_25!$E$5:$E$29,MATCH($A23,PMO_BIBLIOTECA_25!$R$5:$R$29,0))</f>
        <v>Elaborar a análise de contexto da organização (reaproveitando os dados do Perfil) e fixar data de revisão</v>
      </c>
      <c r="D23" s="7" t="str">
        <f aca="false">INDEX(PMO_BIBLIOTECA_25!$C$5:$C$29,MATCH($A23,PMO_BIBLIOTECA_25!$R$5:$R$29,0))</f>
        <v>4 · Contexto da organização</v>
      </c>
      <c r="E23" s="7" t="str">
        <f aca="false">INDEX(PMO_BIBLIOTECA_25!$F$5:$F$29,MATCH($A23,PMO_BIBLIOTECA_25!$R$5:$R$29,0))</f>
        <v>RM-11</v>
      </c>
      <c r="F23" s="7" t="n">
        <f aca="false">INDEX(PMO_BIBLIOTECA_25!$N$5:$N$29,MATCH($A23,PMO_BIBLIOTECA_25!$R$5:$R$29,0))</f>
        <v>12</v>
      </c>
      <c r="G23" s="25" t="n">
        <f aca="false">INDEX(PMO_BIBLIOTECA_25!$O$5:$O$29,MATCH($A23,PMO_BIBLIOTECA_25!$R$5:$R$29,0))</f>
        <v>0</v>
      </c>
      <c r="H23" s="25" t="n">
        <f aca="false">INDEX(PMO_BIBLIOTECA_25!$M$5:$M$29,MATCH($A23,PMO_BIBLIOTECA_25!$R$5:$R$29,0))</f>
        <v>5</v>
      </c>
      <c r="I23" s="25" t="n">
        <f aca="false">INDEX(PMO_BIBLIOTECA_25!$P$5:$P$29,MATCH($A23,PMO_BIBLIOTECA_25!$R$5:$R$29,0))</f>
        <v>24</v>
      </c>
      <c r="J23" s="7" t="str">
        <f aca="false">IF(F23&gt;=RISCO_PARAMETROS!$B$6,"Imediata (até 30 dias)",IF(F23&gt;=RISCO_PARAMETROS!$B$7,"Próximos 90 dias","Planejada (6 meses)"))</f>
        <v>Próximos 90 dias</v>
      </c>
      <c r="K23" s="13" t="s">
        <v>3644</v>
      </c>
      <c r="L23" s="13"/>
      <c r="M23" s="43"/>
      <c r="N23" s="13"/>
      <c r="O23" s="7" t="str">
        <f aca="false">IF(INDEX(PMO_BIBLIOTECA_25!$I$5:$I$29,MATCH($A23,PMO_BIBLIOTECA_25!$R$5:$R$29,0))="","—",INDEX(PMO_BIBLIOTECA_25!$I$5:$I$29,MATCH($A23,PMO_BIBLIOTECA_25!$R$5:$R$29,0)))</f>
        <v>—</v>
      </c>
    </row>
    <row r="24" customFormat="false" ht="23.85" hidden="false" customHeight="false" outlineLevel="0" collapsed="false">
      <c r="A24" s="7" t="n">
        <v>20</v>
      </c>
      <c r="B24" s="7" t="str">
        <f aca="false">INDEX(PMO_BIBLIOTECA_25!$A$5:$A$29,MATCH($A24,PMO_BIBLIOTECA_25!$R$5:$R$29,0))</f>
        <v>ACT-24</v>
      </c>
      <c r="C24" s="7" t="str">
        <f aca="false">INDEX(PMO_BIBLIOTECA_25!$E$5:$E$29,MATCH($A24,PMO_BIBLIOTECA_25!$R$5:$R$29,0))</f>
        <v>Executar a auditoria interna do sistema de gestão e registrar a análise crítica pela alta direção</v>
      </c>
      <c r="D24" s="7" t="str">
        <f aca="false">INDEX(PMO_BIBLIOTECA_25!$C$5:$C$29,MATCH($A24,PMO_BIBLIOTECA_25!$R$5:$R$29,0))</f>
        <v>9 · Avaliação de desempenho</v>
      </c>
      <c r="E24" s="7" t="str">
        <f aca="false">INDEX(PMO_BIBLIOTECA_25!$F$5:$F$29,MATCH($A24,PMO_BIBLIOTECA_25!$R$5:$R$29,0))</f>
        <v>RM-16</v>
      </c>
      <c r="F24" s="7" t="n">
        <f aca="false">INDEX(PMO_BIBLIOTECA_25!$N$5:$N$29,MATCH($A24,PMO_BIBLIOTECA_25!$R$5:$R$29,0))</f>
        <v>12</v>
      </c>
      <c r="G24" s="25" t="n">
        <f aca="false">INDEX(PMO_BIBLIOTECA_25!$O$5:$O$29,MATCH($A24,PMO_BIBLIOTECA_25!$R$5:$R$29,0))</f>
        <v>0</v>
      </c>
      <c r="H24" s="25" t="n">
        <f aca="false">INDEX(PMO_BIBLIOTECA_25!$M$5:$M$29,MATCH($A24,PMO_BIBLIOTECA_25!$R$5:$R$29,0))</f>
        <v>5.5</v>
      </c>
      <c r="I24" s="25" t="n">
        <f aca="false">INDEX(PMO_BIBLIOTECA_25!$P$5:$P$29,MATCH($A24,PMO_BIBLIOTECA_25!$R$5:$R$29,0))</f>
        <v>24</v>
      </c>
      <c r="J24" s="7" t="str">
        <f aca="false">IF(F24&gt;=RISCO_PARAMETROS!$B$6,"Imediata (até 30 dias)",IF(F24&gt;=RISCO_PARAMETROS!$B$7,"Próximos 90 dias","Planejada (6 meses)"))</f>
        <v>Próximos 90 dias</v>
      </c>
      <c r="K24" s="13" t="s">
        <v>3644</v>
      </c>
      <c r="L24" s="13"/>
      <c r="M24" s="43"/>
      <c r="N24" s="13"/>
      <c r="O24" s="7" t="str">
        <f aca="false">IF(INDEX(PMO_BIBLIOTECA_25!$I$5:$I$29,MATCH($A24,PMO_BIBLIOTECA_25!$R$5:$R$29,0))="","—",INDEX(PMO_BIBLIOTECA_25!$I$5:$I$29,MATCH($A24,PMO_BIBLIOTECA_25!$R$5:$R$29,0)))</f>
        <v>—</v>
      </c>
    </row>
    <row r="25" customFormat="false" ht="23.85" hidden="false" customHeight="false" outlineLevel="0" collapsed="false">
      <c r="A25" s="7" t="n">
        <v>21</v>
      </c>
      <c r="B25" s="7" t="str">
        <f aca="false">INDEX(PMO_BIBLIOTECA_25!$A$5:$A$29,MATCH($A25,PMO_BIBLIOTECA_25!$R$5:$R$29,0))</f>
        <v>ACT-25</v>
      </c>
      <c r="C25" s="7" t="str">
        <f aca="false">INDEX(PMO_BIBLIOTECA_25!$E$5:$E$29,MATCH($A25,PMO_BIBLIOTECA_25!$R$5:$R$29,0))</f>
        <v>Implantar o processo de não conformidade e ação corretiva, com verificação de eficácia</v>
      </c>
      <c r="D25" s="7" t="str">
        <f aca="false">INDEX(PMO_BIBLIOTECA_25!$C$5:$C$29,MATCH($A25,PMO_BIBLIOTECA_25!$R$5:$R$29,0))</f>
        <v>10 · Melhoria</v>
      </c>
      <c r="E25" s="7" t="str">
        <f aca="false">INDEX(PMO_BIBLIOTECA_25!$F$5:$F$29,MATCH($A25,PMO_BIBLIOTECA_25!$R$5:$R$29,0))</f>
        <v>RM-17</v>
      </c>
      <c r="F25" s="7" t="n">
        <f aca="false">INDEX(PMO_BIBLIOTECA_25!$N$5:$N$29,MATCH($A25,PMO_BIBLIOTECA_25!$R$5:$R$29,0))</f>
        <v>9</v>
      </c>
      <c r="G25" s="25" t="n">
        <f aca="false">INDEX(PMO_BIBLIOTECA_25!$O$5:$O$29,MATCH($A25,PMO_BIBLIOTECA_25!$R$5:$R$29,0))</f>
        <v>0</v>
      </c>
      <c r="H25" s="25" t="n">
        <f aca="false">INDEX(PMO_BIBLIOTECA_25!$M$5:$M$29,MATCH($A25,PMO_BIBLIOTECA_25!$R$5:$R$29,0))</f>
        <v>3.5</v>
      </c>
      <c r="I25" s="25" t="n">
        <f aca="false">INDEX(PMO_BIBLIOTECA_25!$P$5:$P$29,MATCH($A25,PMO_BIBLIOTECA_25!$R$5:$R$29,0))</f>
        <v>18</v>
      </c>
      <c r="J25" s="7" t="str">
        <f aca="false">IF(F25&gt;=RISCO_PARAMETROS!$B$6,"Imediata (até 30 dias)",IF(F25&gt;=RISCO_PARAMETROS!$B$7,"Próximos 90 dias","Planejada (6 meses)"))</f>
        <v>Planejada (6 meses)</v>
      </c>
      <c r="K25" s="13" t="s">
        <v>3644</v>
      </c>
      <c r="L25" s="13"/>
      <c r="M25" s="43"/>
      <c r="N25" s="13"/>
      <c r="O25" s="7" t="str">
        <f aca="false">IF(INDEX(PMO_BIBLIOTECA_25!$I$5:$I$29,MATCH($A25,PMO_BIBLIOTECA_25!$R$5:$R$29,0))="","—",INDEX(PMO_BIBLIOTECA_25!$I$5:$I$29,MATCH($A25,PMO_BIBLIOTECA_25!$R$5:$R$29,0)))</f>
        <v>—</v>
      </c>
    </row>
    <row r="26" customFormat="false" ht="23.85" hidden="false" customHeight="false" outlineLevel="0" collapsed="false">
      <c r="A26" s="7" t="n">
        <v>22</v>
      </c>
      <c r="B26" s="7" t="str">
        <f aca="false">INDEX(PMO_BIBLIOTECA_25!$A$5:$A$29,MATCH($A26,PMO_BIBLIOTECA_25!$R$5:$R$29,0))</f>
        <v>ACT-21</v>
      </c>
      <c r="C26" s="7" t="str">
        <f aca="false">INDEX(PMO_BIBLIOTECA_25!$E$5:$E$29,MATCH($A26,PMO_BIBLIOTECA_25!$R$5:$R$29,0))</f>
        <v>Definir objetivos de compliance com indicador, meta e prazo, derivados da matriz de riscos</v>
      </c>
      <c r="D26" s="7" t="str">
        <f aca="false">INDEX(PMO_BIBLIOTECA_25!$C$5:$C$29,MATCH($A26,PMO_BIBLIOTECA_25!$R$5:$R$29,0))</f>
        <v>6 · Planejamento</v>
      </c>
      <c r="E26" s="7" t="str">
        <f aca="false">INDEX(PMO_BIBLIOTECA_25!$F$5:$F$29,MATCH($A26,PMO_BIBLIOTECA_25!$R$5:$R$29,0))</f>
        <v>RM-13</v>
      </c>
      <c r="F26" s="7" t="n">
        <f aca="false">INDEX(PMO_BIBLIOTECA_25!$N$5:$N$29,MATCH($A26,PMO_BIBLIOTECA_25!$R$5:$R$29,0))</f>
        <v>9</v>
      </c>
      <c r="G26" s="25" t="n">
        <f aca="false">INDEX(PMO_BIBLIOTECA_25!$O$5:$O$29,MATCH($A26,PMO_BIBLIOTECA_25!$R$5:$R$29,0))</f>
        <v>0</v>
      </c>
      <c r="H26" s="25" t="n">
        <f aca="false">INDEX(PMO_BIBLIOTECA_25!$M$5:$M$29,MATCH($A26,PMO_BIBLIOTECA_25!$R$5:$R$29,0))</f>
        <v>4</v>
      </c>
      <c r="I26" s="25" t="n">
        <f aca="false">INDEX(PMO_BIBLIOTECA_25!$P$5:$P$29,MATCH($A26,PMO_BIBLIOTECA_25!$R$5:$R$29,0))</f>
        <v>18</v>
      </c>
      <c r="J26" s="7" t="str">
        <f aca="false">IF(F26&gt;=RISCO_PARAMETROS!$B$6,"Imediata (até 30 dias)",IF(F26&gt;=RISCO_PARAMETROS!$B$7,"Próximos 90 dias","Planejada (6 meses)"))</f>
        <v>Planejada (6 meses)</v>
      </c>
      <c r="K26" s="13" t="s">
        <v>3644</v>
      </c>
      <c r="L26" s="13"/>
      <c r="M26" s="43"/>
      <c r="N26" s="13"/>
      <c r="O26" s="7" t="str">
        <f aca="false">IF(INDEX(PMO_BIBLIOTECA_25!$I$5:$I$29,MATCH($A26,PMO_BIBLIOTECA_25!$R$5:$R$29,0))="","—",INDEX(PMO_BIBLIOTECA_25!$I$5:$I$29,MATCH($A26,PMO_BIBLIOTECA_25!$R$5:$R$29,0)))</f>
        <v>—</v>
      </c>
    </row>
    <row r="27" customFormat="false" ht="23.85" hidden="false" customHeight="false" outlineLevel="0" collapsed="false">
      <c r="A27" s="7" t="n">
        <v>23</v>
      </c>
      <c r="B27" s="7" t="str">
        <f aca="false">INDEX(PMO_BIBLIOTECA_25!$A$5:$A$29,MATCH($A27,PMO_BIBLIOTECA_25!$R$5:$R$29,0))</f>
        <v>ACT-20</v>
      </c>
      <c r="C27" s="7" t="str">
        <f aca="false">INDEX(PMO_BIBLIOTECA_25!$E$5:$E$29,MATCH($A27,PMO_BIBLIOTECA_25!$R$5:$R$29,0))</f>
        <v>Formalizar a política de compliance e antissuborno assinada e a matriz de papéis e autoridades</v>
      </c>
      <c r="D27" s="7" t="str">
        <f aca="false">INDEX(PMO_BIBLIOTECA_25!$C$5:$C$29,MATCH($A27,PMO_BIBLIOTECA_25!$R$5:$R$29,0))</f>
        <v>5 · Liderança</v>
      </c>
      <c r="E27" s="7" t="str">
        <f aca="false">INDEX(PMO_BIBLIOTECA_25!$F$5:$F$29,MATCH($A27,PMO_BIBLIOTECA_25!$R$5:$R$29,0))</f>
        <v>RM-12</v>
      </c>
      <c r="F27" s="7" t="n">
        <f aca="false">INDEX(PMO_BIBLIOTECA_25!$N$5:$N$29,MATCH($A27,PMO_BIBLIOTECA_25!$R$5:$R$29,0))</f>
        <v>10</v>
      </c>
      <c r="G27" s="25" t="n">
        <f aca="false">INDEX(PMO_BIBLIOTECA_25!$O$5:$O$29,MATCH($A27,PMO_BIBLIOTECA_25!$R$5:$R$29,0))</f>
        <v>0</v>
      </c>
      <c r="H27" s="25" t="n">
        <f aca="false">INDEX(PMO_BIBLIOTECA_25!$M$5:$M$29,MATCH($A27,PMO_BIBLIOTECA_25!$R$5:$R$29,0))</f>
        <v>5.5</v>
      </c>
      <c r="I27" s="25" t="n">
        <f aca="false">INDEX(PMO_BIBLIOTECA_25!$P$5:$P$29,MATCH($A27,PMO_BIBLIOTECA_25!$R$5:$R$29,0))</f>
        <v>20</v>
      </c>
      <c r="J27" s="7" t="str">
        <f aca="false">IF(F27&gt;=RISCO_PARAMETROS!$B$6,"Imediata (até 30 dias)",IF(F27&gt;=RISCO_PARAMETROS!$B$7,"Próximos 90 dias","Planejada (6 meses)"))</f>
        <v>Próximos 90 dias</v>
      </c>
      <c r="K27" s="13" t="s">
        <v>3644</v>
      </c>
      <c r="L27" s="13"/>
      <c r="M27" s="43"/>
      <c r="N27" s="13"/>
      <c r="O27" s="7" t="str">
        <f aca="false">IF(INDEX(PMO_BIBLIOTECA_25!$I$5:$I$29,MATCH($A27,PMO_BIBLIOTECA_25!$R$5:$R$29,0))="","—",INDEX(PMO_BIBLIOTECA_25!$I$5:$I$29,MATCH($A27,PMO_BIBLIOTECA_25!$R$5:$R$29,0)))</f>
        <v>—</v>
      </c>
    </row>
    <row r="28" customFormat="false" ht="23.85" hidden="false" customHeight="false" outlineLevel="0" collapsed="false">
      <c r="A28" s="7" t="n">
        <v>24</v>
      </c>
      <c r="B28" s="7" t="str">
        <f aca="false">INDEX(PMO_BIBLIOTECA_25!$A$5:$A$29,MATCH($A28,PMO_BIBLIOTECA_25!$R$5:$R$29,0))</f>
        <v>ACT-22</v>
      </c>
      <c r="C28" s="7" t="str">
        <f aca="false">INDEX(PMO_BIBLIOTECA_25!$E$5:$E$29,MATCH($A28,PMO_BIBLIOTECA_25!$R$5:$R$29,0))</f>
        <v>Atualizar a matriz de competências e o plano de comunicação interna e externa</v>
      </c>
      <c r="D28" s="7" t="str">
        <f aca="false">INDEX(PMO_BIBLIOTECA_25!$C$5:$C$29,MATCH($A28,PMO_BIBLIOTECA_25!$R$5:$R$29,0))</f>
        <v>7 · Suporte</v>
      </c>
      <c r="E28" s="7" t="str">
        <f aca="false">INDEX(PMO_BIBLIOTECA_25!$F$5:$F$29,MATCH($A28,PMO_BIBLIOTECA_25!$R$5:$R$29,0))</f>
        <v>RM-14</v>
      </c>
      <c r="F28" s="7" t="n">
        <f aca="false">INDEX(PMO_BIBLIOTECA_25!$N$5:$N$29,MATCH($A28,PMO_BIBLIOTECA_25!$R$5:$R$29,0))</f>
        <v>9</v>
      </c>
      <c r="G28" s="25" t="n">
        <f aca="false">INDEX(PMO_BIBLIOTECA_25!$O$5:$O$29,MATCH($A28,PMO_BIBLIOTECA_25!$R$5:$R$29,0))</f>
        <v>0</v>
      </c>
      <c r="H28" s="25" t="n">
        <f aca="false">INDEX(PMO_BIBLIOTECA_25!$M$5:$M$29,MATCH($A28,PMO_BIBLIOTECA_25!$R$5:$R$29,0))</f>
        <v>6</v>
      </c>
      <c r="I28" s="25" t="n">
        <f aca="false">INDEX(PMO_BIBLIOTECA_25!$P$5:$P$29,MATCH($A28,PMO_BIBLIOTECA_25!$R$5:$R$29,0))</f>
        <v>18</v>
      </c>
      <c r="J28" s="7" t="str">
        <f aca="false">IF(F28&gt;=RISCO_PARAMETROS!$B$6,"Imediata (até 30 dias)",IF(F28&gt;=RISCO_PARAMETROS!$B$7,"Próximos 90 dias","Planejada (6 meses)"))</f>
        <v>Planejada (6 meses)</v>
      </c>
      <c r="K28" s="13" t="s">
        <v>3644</v>
      </c>
      <c r="L28" s="13"/>
      <c r="M28" s="43"/>
      <c r="N28" s="13"/>
      <c r="O28" s="7" t="str">
        <f aca="false">IF(INDEX(PMO_BIBLIOTECA_25!$I$5:$I$29,MATCH($A28,PMO_BIBLIOTECA_25!$R$5:$R$29,0))="","—",INDEX(PMO_BIBLIOTECA_25!$I$5:$I$29,MATCH($A28,PMO_BIBLIOTECA_25!$R$5:$R$29,0)))</f>
        <v>—</v>
      </c>
    </row>
    <row r="29" customFormat="false" ht="23.85" hidden="false" customHeight="false" outlineLevel="0" collapsed="false">
      <c r="A29" s="7" t="n">
        <v>25</v>
      </c>
      <c r="B29" s="7" t="str">
        <f aca="false">INDEX(PMO_BIBLIOTECA_25!$A$5:$A$29,MATCH($A29,PMO_BIBLIOTECA_25!$R$5:$R$29,0))</f>
        <v>ACT-23</v>
      </c>
      <c r="C29" s="7" t="str">
        <f aca="false">INDEX(PMO_BIBLIOTECA_25!$E$5:$E$29,MATCH($A29,PMO_BIBLIOTECA_25!$R$5:$R$29,0))</f>
        <v>Padronizar os procedimentos operacionais (POPs) dos controles já praticados</v>
      </c>
      <c r="D29" s="7" t="str">
        <f aca="false">INDEX(PMO_BIBLIOTECA_25!$C$5:$C$29,MATCH($A29,PMO_BIBLIOTECA_25!$R$5:$R$29,0))</f>
        <v>8 · Operação</v>
      </c>
      <c r="E29" s="7" t="str">
        <f aca="false">INDEX(PMO_BIBLIOTECA_25!$F$5:$F$29,MATCH($A29,PMO_BIBLIOTECA_25!$R$5:$R$29,0))</f>
        <v>RM-15</v>
      </c>
      <c r="F29" s="7" t="n">
        <f aca="false">INDEX(PMO_BIBLIOTECA_25!$N$5:$N$29,MATCH($A29,PMO_BIBLIOTECA_25!$R$5:$R$29,0))</f>
        <v>8</v>
      </c>
      <c r="G29" s="25" t="n">
        <f aca="false">INDEX(PMO_BIBLIOTECA_25!$O$5:$O$29,MATCH($A29,PMO_BIBLIOTECA_25!$R$5:$R$29,0))</f>
        <v>0</v>
      </c>
      <c r="H29" s="25" t="n">
        <f aca="false">INDEX(PMO_BIBLIOTECA_25!$M$5:$M$29,MATCH($A29,PMO_BIBLIOTECA_25!$R$5:$R$29,0))</f>
        <v>6.5</v>
      </c>
      <c r="I29" s="25" t="n">
        <f aca="false">INDEX(PMO_BIBLIOTECA_25!$P$5:$P$29,MATCH($A29,PMO_BIBLIOTECA_25!$R$5:$R$29,0))</f>
        <v>16</v>
      </c>
      <c r="J29" s="7" t="str">
        <f aca="false">IF(F29&gt;=RISCO_PARAMETROS!$B$6,"Imediata (até 30 dias)",IF(F29&gt;=RISCO_PARAMETROS!$B$7,"Próximos 90 dias","Planejada (6 meses)"))</f>
        <v>Planejada (6 meses)</v>
      </c>
      <c r="K29" s="13" t="s">
        <v>3644</v>
      </c>
      <c r="L29" s="13"/>
      <c r="M29" s="43"/>
      <c r="N29" s="13"/>
      <c r="O29" s="7" t="str">
        <f aca="false">IF(INDEX(PMO_BIBLIOTECA_25!$I$5:$I$29,MATCH($A29,PMO_BIBLIOTECA_25!$R$5:$R$29,0))="","—",INDEX(PMO_BIBLIOTECA_25!$I$5:$I$29,MATCH($A29,PMO_BIBLIOTECA_25!$R$5:$R$29,0)))</f>
        <v>—</v>
      </c>
    </row>
    <row r="31" customFormat="false" ht="15" hidden="false" customHeight="false" outlineLevel="0" collapsed="false">
      <c r="A31" s="11" t="s">
        <v>3645</v>
      </c>
    </row>
    <row r="32" customFormat="false" ht="15" hidden="false" customHeight="false" outlineLevel="0" collapsed="false">
      <c r="C32" s="11" t="s">
        <v>3646</v>
      </c>
      <c r="D32" s="11" t="s">
        <v>3647</v>
      </c>
      <c r="E32" s="11" t="s">
        <v>3648</v>
      </c>
      <c r="F32" s="11" t="s">
        <v>3644</v>
      </c>
    </row>
    <row r="33" customFormat="false" ht="15" hidden="false" customHeight="false" outlineLevel="0" collapsed="false">
      <c r="C33" s="5" t="n">
        <f aca="false">COUNTIF($K$5:$K$29,"Aprovar")</f>
        <v>0</v>
      </c>
      <c r="D33" s="5" t="n">
        <f aca="false">COUNTIF($K$5:$K$29,"Adiar")</f>
        <v>0</v>
      </c>
      <c r="E33" s="5" t="n">
        <f aca="false">COUNTIF($K$5:$K$29,"Rejeitar")</f>
        <v>0</v>
      </c>
      <c r="F33" s="5" t="n">
        <f aca="false">COUNTIF($K$5:$K$29,"Em análise")</f>
        <v>25</v>
      </c>
    </row>
    <row r="34" customFormat="false" ht="15" hidden="false" customHeight="false" outlineLevel="0" collapsed="false">
      <c r="A34" s="11" t="s">
        <v>3649</v>
      </c>
      <c r="G34" s="38" t="n">
        <f aca="false">SUMPRODUCT(($K$5:$K$29="Aprovar")*$H$5:$H$29)</f>
        <v>0</v>
      </c>
    </row>
  </sheetData>
  <dataValidations count="1">
    <dataValidation allowBlank="false" errorStyle="stop" operator="between" showDropDown="false" showErrorMessage="false" showInputMessage="false" sqref="K5:K29" type="list">
      <formula1>"Aprovar,Adiar,Rejeitar,Em análise"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A1A"/>
    <pageSetUpPr fitToPage="false"/>
  </sheetPr>
  <dimension ref="A1:J2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0"/>
    <col collapsed="false" customWidth="true" hidden="false" outlineLevel="0" max="3" min="3" style="0" width="22"/>
    <col collapsed="false" customWidth="true" hidden="false" outlineLevel="0" max="4" min="4" style="0" width="28"/>
    <col collapsed="false" customWidth="true" hidden="false" outlineLevel="0" max="6" min="5" style="0" width="60"/>
    <col collapsed="false" customWidth="true" hidden="false" outlineLevel="0" max="7" min="7" style="0" width="14"/>
    <col collapsed="false" customWidth="true" hidden="false" outlineLevel="0" max="9" min="8" style="0" width="3"/>
    <col collapsed="false" customWidth="true" hidden="false" outlineLevel="0" max="10" min="10" style="0" width="16"/>
  </cols>
  <sheetData>
    <row r="1" customFormat="false" ht="17.35" hidden="false" customHeight="false" outlineLevel="0" collapsed="false">
      <c r="A1" s="1" t="s">
        <v>3650</v>
      </c>
    </row>
    <row r="2" customFormat="false" ht="15" hidden="false" customHeight="false" outlineLevel="0" collapsed="false">
      <c r="A2" s="2" t="s">
        <v>3651</v>
      </c>
    </row>
    <row r="4" customFormat="false" ht="15" hidden="false" customHeight="false" outlineLevel="0" collapsed="false">
      <c r="A4" s="3" t="s">
        <v>3652</v>
      </c>
      <c r="B4" s="3" t="s">
        <v>3653</v>
      </c>
      <c r="C4" s="3" t="s">
        <v>3654</v>
      </c>
    </row>
    <row r="5" customFormat="false" ht="23.85" hidden="false" customHeight="false" outlineLevel="0" collapsed="false">
      <c r="A5" s="7" t="s">
        <v>560</v>
      </c>
      <c r="B5" s="7" t="s">
        <v>3655</v>
      </c>
      <c r="C5" s="7" t="n">
        <f aca="false">COUNTIF($J$22:$J$244,"*|I|*")</f>
        <v>23</v>
      </c>
    </row>
    <row r="6" customFormat="false" ht="15" hidden="false" customHeight="false" outlineLevel="0" collapsed="false">
      <c r="A6" s="7" t="s">
        <v>590</v>
      </c>
      <c r="B6" s="7" t="s">
        <v>3656</v>
      </c>
      <c r="C6" s="7" t="n">
        <f aca="false">COUNTIF($J$22:$J$244,"*|II|*")</f>
        <v>24</v>
      </c>
    </row>
    <row r="7" customFormat="false" ht="15" hidden="false" customHeight="false" outlineLevel="0" collapsed="false">
      <c r="A7" s="7" t="s">
        <v>1131</v>
      </c>
      <c r="B7" s="7" t="s">
        <v>3657</v>
      </c>
      <c r="C7" s="7" t="n">
        <f aca="false">COUNTIF($J$22:$J$244,"*|III|*")</f>
        <v>11</v>
      </c>
    </row>
    <row r="8" customFormat="false" ht="15" hidden="false" customHeight="false" outlineLevel="0" collapsed="false">
      <c r="A8" s="7" t="s">
        <v>601</v>
      </c>
      <c r="B8" s="7" t="s">
        <v>3658</v>
      </c>
      <c r="C8" s="7" t="n">
        <f aca="false">COUNTIF($J$22:$J$244,"*|IV|*")</f>
        <v>32</v>
      </c>
    </row>
    <row r="9" customFormat="false" ht="15" hidden="false" customHeight="false" outlineLevel="0" collapsed="false">
      <c r="A9" s="7" t="s">
        <v>580</v>
      </c>
      <c r="B9" s="7" t="s">
        <v>3659</v>
      </c>
      <c r="C9" s="7" t="n">
        <f aca="false">COUNTIF($J$22:$J$244,"*|V|*")</f>
        <v>13</v>
      </c>
    </row>
    <row r="10" customFormat="false" ht="15" hidden="false" customHeight="false" outlineLevel="0" collapsed="false">
      <c r="A10" s="7" t="s">
        <v>3660</v>
      </c>
      <c r="B10" s="7" t="s">
        <v>3661</v>
      </c>
      <c r="C10" s="7" t="n">
        <f aca="false">COUNTIF($J$22:$J$244,"*|VI|*")</f>
        <v>5</v>
      </c>
    </row>
    <row r="11" customFormat="false" ht="15" hidden="false" customHeight="false" outlineLevel="0" collapsed="false">
      <c r="A11" s="7" t="s">
        <v>1206</v>
      </c>
      <c r="B11" s="7" t="s">
        <v>3662</v>
      </c>
      <c r="C11" s="7" t="n">
        <f aca="false">COUNTIF($J$22:$J$244,"*|VII|*")</f>
        <v>11</v>
      </c>
    </row>
    <row r="12" customFormat="false" ht="23.85" hidden="false" customHeight="false" outlineLevel="0" collapsed="false">
      <c r="A12" s="7" t="s">
        <v>1034</v>
      </c>
      <c r="B12" s="7" t="s">
        <v>3663</v>
      </c>
      <c r="C12" s="7" t="n">
        <f aca="false">COUNTIF($J$22:$J$244,"*|VIII|*")</f>
        <v>19</v>
      </c>
    </row>
    <row r="13" customFormat="false" ht="15" hidden="false" customHeight="false" outlineLevel="0" collapsed="false">
      <c r="A13" s="7" t="s">
        <v>571</v>
      </c>
      <c r="B13" s="7" t="s">
        <v>3664</v>
      </c>
      <c r="C13" s="7" t="n">
        <f aca="false">COUNTIF($J$22:$J$244,"*|IX|*")</f>
        <v>13</v>
      </c>
    </row>
    <row r="14" customFormat="false" ht="23.85" hidden="false" customHeight="false" outlineLevel="0" collapsed="false">
      <c r="A14" s="7" t="s">
        <v>619</v>
      </c>
      <c r="B14" s="7" t="s">
        <v>3665</v>
      </c>
      <c r="C14" s="7" t="n">
        <f aca="false">COUNTIF($J$22:$J$244,"*|X|*")</f>
        <v>23</v>
      </c>
    </row>
    <row r="15" customFormat="false" ht="15" hidden="false" customHeight="false" outlineLevel="0" collapsed="false">
      <c r="A15" s="7" t="s">
        <v>1276</v>
      </c>
      <c r="B15" s="7" t="s">
        <v>3666</v>
      </c>
      <c r="C15" s="7" t="n">
        <f aca="false">COUNTIF($J$22:$J$244,"*|XI|*")</f>
        <v>4</v>
      </c>
    </row>
    <row r="16" customFormat="false" ht="15" hidden="false" customHeight="false" outlineLevel="0" collapsed="false">
      <c r="A16" s="7" t="s">
        <v>1956</v>
      </c>
      <c r="B16" s="7" t="s">
        <v>3667</v>
      </c>
      <c r="C16" s="7" t="n">
        <f aca="false">COUNTIF($J$22:$J$244,"*|XII|*")</f>
        <v>5</v>
      </c>
    </row>
    <row r="17" customFormat="false" ht="23.85" hidden="false" customHeight="false" outlineLevel="0" collapsed="false">
      <c r="A17" s="7" t="s">
        <v>1142</v>
      </c>
      <c r="B17" s="7" t="s">
        <v>3668</v>
      </c>
      <c r="C17" s="7" t="n">
        <f aca="false">COUNTIF($J$22:$J$244,"*|XIII|*")</f>
        <v>23</v>
      </c>
    </row>
    <row r="18" customFormat="false" ht="23.85" hidden="false" customHeight="false" outlineLevel="0" collapsed="false">
      <c r="A18" s="7" t="s">
        <v>1244</v>
      </c>
      <c r="B18" s="7" t="s">
        <v>3669</v>
      </c>
      <c r="C18" s="7" t="n">
        <f aca="false">COUNTIF($J$22:$J$244,"*|XIV|*")</f>
        <v>5</v>
      </c>
    </row>
    <row r="19" customFormat="false" ht="15" hidden="false" customHeight="false" outlineLevel="0" collapsed="false">
      <c r="A19" s="7" t="s">
        <v>1284</v>
      </c>
      <c r="B19" s="7" t="s">
        <v>3670</v>
      </c>
      <c r="C19" s="7" t="n">
        <f aca="false">COUNTIF($J$22:$J$244,"*|XV|*")</f>
        <v>9</v>
      </c>
    </row>
    <row r="20" customFormat="false" ht="15" hidden="false" customHeight="false" outlineLevel="0" collapsed="false">
      <c r="B20" s="11" t="s">
        <v>3671</v>
      </c>
      <c r="C20" s="11" t="n">
        <f aca="false">COUNTIF($J$22:$J$244,"")</f>
        <v>17</v>
      </c>
    </row>
    <row r="21" customFormat="false" ht="31.5" hidden="false" customHeight="true" outlineLevel="0" collapsed="false">
      <c r="A21" s="6" t="s">
        <v>118</v>
      </c>
      <c r="B21" s="6" t="s">
        <v>649</v>
      </c>
      <c r="C21" s="6" t="s">
        <v>539</v>
      </c>
      <c r="D21" s="6" t="s">
        <v>540</v>
      </c>
      <c r="E21" s="6" t="s">
        <v>3672</v>
      </c>
      <c r="F21" s="6" t="s">
        <v>3673</v>
      </c>
      <c r="G21" s="6" t="s">
        <v>3674</v>
      </c>
      <c r="H21" s="6"/>
      <c r="I21" s="6"/>
      <c r="J21" s="6" t="s">
        <v>3675</v>
      </c>
    </row>
    <row r="22" customFormat="false" ht="57.45" hidden="false" customHeight="false" outlineLevel="0" collapsed="false">
      <c r="A22" s="7" t="s">
        <v>549</v>
      </c>
      <c r="B22" s="7" t="s">
        <v>550</v>
      </c>
      <c r="C22" s="7" t="s">
        <v>551</v>
      </c>
      <c r="D22" s="7" t="s">
        <v>552</v>
      </c>
      <c r="E22" s="7" t="s">
        <v>3676</v>
      </c>
      <c r="F22" s="7" t="s">
        <v>3655</v>
      </c>
      <c r="G22" s="7"/>
      <c r="H22" s="7"/>
      <c r="I22" s="7"/>
      <c r="J22" s="7" t="s">
        <v>3677</v>
      </c>
    </row>
    <row r="23" customFormat="false" ht="57.45" hidden="false" customHeight="false" outlineLevel="0" collapsed="false">
      <c r="A23" s="7" t="s">
        <v>562</v>
      </c>
      <c r="B23" s="7" t="s">
        <v>563</v>
      </c>
      <c r="C23" s="7" t="s">
        <v>551</v>
      </c>
      <c r="D23" s="7" t="s">
        <v>564</v>
      </c>
      <c r="E23" s="7" t="s">
        <v>3678</v>
      </c>
      <c r="F23" s="7" t="s">
        <v>3664</v>
      </c>
      <c r="G23" s="7"/>
      <c r="H23" s="7"/>
      <c r="I23" s="7"/>
      <c r="J23" s="7" t="s">
        <v>3679</v>
      </c>
    </row>
    <row r="24" customFormat="false" ht="46.25" hidden="false" customHeight="false" outlineLevel="0" collapsed="false">
      <c r="A24" s="7" t="s">
        <v>573</v>
      </c>
      <c r="B24" s="7" t="s">
        <v>574</v>
      </c>
      <c r="C24" s="7" t="s">
        <v>551</v>
      </c>
      <c r="D24" s="7" t="s">
        <v>575</v>
      </c>
      <c r="E24" s="7" t="s">
        <v>576</v>
      </c>
      <c r="F24" s="7" t="s">
        <v>3659</v>
      </c>
      <c r="G24" s="7"/>
      <c r="H24" s="7"/>
      <c r="I24" s="7"/>
      <c r="J24" s="7" t="s">
        <v>3680</v>
      </c>
    </row>
    <row r="25" customFormat="false" ht="35.05" hidden="false" customHeight="false" outlineLevel="0" collapsed="false">
      <c r="A25" s="7" t="s">
        <v>582</v>
      </c>
      <c r="B25" s="7" t="s">
        <v>583</v>
      </c>
      <c r="C25" s="7" t="s">
        <v>551</v>
      </c>
      <c r="D25" s="7" t="s">
        <v>584</v>
      </c>
      <c r="E25" s="7" t="s">
        <v>585</v>
      </c>
      <c r="F25" s="7" t="s">
        <v>3656</v>
      </c>
      <c r="G25" s="7"/>
      <c r="H25" s="7"/>
      <c r="I25" s="7"/>
      <c r="J25" s="7" t="s">
        <v>3681</v>
      </c>
    </row>
    <row r="26" customFormat="false" ht="46.25" hidden="false" customHeight="false" outlineLevel="0" collapsed="false">
      <c r="A26" s="7" t="s">
        <v>592</v>
      </c>
      <c r="B26" s="7" t="s">
        <v>593</v>
      </c>
      <c r="C26" s="7" t="s">
        <v>551</v>
      </c>
      <c r="D26" s="7" t="s">
        <v>594</v>
      </c>
      <c r="E26" s="7" t="s">
        <v>595</v>
      </c>
      <c r="F26" s="7" t="s">
        <v>3658</v>
      </c>
      <c r="G26" s="7"/>
      <c r="H26" s="7"/>
      <c r="I26" s="7"/>
      <c r="J26" s="7" t="s">
        <v>3682</v>
      </c>
    </row>
    <row r="27" customFormat="false" ht="35.05" hidden="false" customHeight="false" outlineLevel="0" collapsed="false">
      <c r="A27" s="7" t="s">
        <v>603</v>
      </c>
      <c r="B27" s="7" t="s">
        <v>604</v>
      </c>
      <c r="C27" s="7" t="s">
        <v>551</v>
      </c>
      <c r="D27" s="7" t="s">
        <v>594</v>
      </c>
      <c r="E27" s="7" t="s">
        <v>605</v>
      </c>
      <c r="F27" s="7" t="s">
        <v>3658</v>
      </c>
      <c r="G27" s="7"/>
      <c r="H27" s="7"/>
      <c r="I27" s="7"/>
      <c r="J27" s="7" t="s">
        <v>3682</v>
      </c>
    </row>
    <row r="28" customFormat="false" ht="23.85" hidden="false" customHeight="false" outlineLevel="0" collapsed="false">
      <c r="A28" s="7" t="s">
        <v>611</v>
      </c>
      <c r="B28" s="7" t="s">
        <v>612</v>
      </c>
      <c r="C28" s="7" t="s">
        <v>551</v>
      </c>
      <c r="D28" s="7" t="s">
        <v>613</v>
      </c>
      <c r="E28" s="7" t="s">
        <v>614</v>
      </c>
      <c r="F28" s="7" t="s">
        <v>3665</v>
      </c>
      <c r="G28" s="7"/>
      <c r="H28" s="7"/>
      <c r="I28" s="7"/>
      <c r="J28" s="7" t="s">
        <v>3683</v>
      </c>
    </row>
    <row r="29" customFormat="false" ht="23.85" hidden="false" customHeight="false" outlineLevel="0" collapsed="false">
      <c r="A29" s="7" t="s">
        <v>621</v>
      </c>
      <c r="B29" s="7" t="s">
        <v>622</v>
      </c>
      <c r="C29" s="7" t="s">
        <v>551</v>
      </c>
      <c r="D29" s="7" t="s">
        <v>623</v>
      </c>
      <c r="E29" s="7" t="s">
        <v>624</v>
      </c>
      <c r="F29" s="7"/>
      <c r="G29" s="7" t="s">
        <v>133</v>
      </c>
      <c r="H29" s="7"/>
      <c r="I29" s="7"/>
      <c r="J29" s="7"/>
    </row>
    <row r="30" customFormat="false" ht="46.25" hidden="false" customHeight="false" outlineLevel="0" collapsed="false">
      <c r="A30" s="7" t="s">
        <v>630</v>
      </c>
      <c r="B30" s="7" t="s">
        <v>631</v>
      </c>
      <c r="C30" s="7" t="s">
        <v>551</v>
      </c>
      <c r="D30" s="7" t="s">
        <v>623</v>
      </c>
      <c r="E30" s="7" t="s">
        <v>632</v>
      </c>
      <c r="F30" s="7"/>
      <c r="G30" s="7" t="s">
        <v>133</v>
      </c>
      <c r="H30" s="7"/>
      <c r="I30" s="7"/>
      <c r="J30" s="7"/>
    </row>
    <row r="31" customFormat="false" ht="35.05" hidden="false" customHeight="false" outlineLevel="0" collapsed="false">
      <c r="A31" s="7" t="s">
        <v>637</v>
      </c>
      <c r="B31" s="7" t="s">
        <v>638</v>
      </c>
      <c r="C31" s="7" t="s">
        <v>551</v>
      </c>
      <c r="D31" s="7" t="s">
        <v>584</v>
      </c>
      <c r="E31" s="7" t="s">
        <v>639</v>
      </c>
      <c r="F31" s="7" t="s">
        <v>3684</v>
      </c>
      <c r="G31" s="7"/>
      <c r="H31" s="7"/>
      <c r="I31" s="7"/>
      <c r="J31" s="7" t="s">
        <v>3685</v>
      </c>
    </row>
    <row r="32" customFormat="false" ht="57.45" hidden="false" customHeight="false" outlineLevel="0" collapsed="false">
      <c r="A32" s="7" t="s">
        <v>766</v>
      </c>
      <c r="B32" s="7" t="s">
        <v>990</v>
      </c>
      <c r="C32" s="7" t="s">
        <v>1029</v>
      </c>
      <c r="D32" s="7" t="s">
        <v>584</v>
      </c>
      <c r="E32" s="7" t="s">
        <v>3686</v>
      </c>
      <c r="F32" s="7" t="s">
        <v>3663</v>
      </c>
      <c r="G32" s="7"/>
      <c r="H32" s="7"/>
      <c r="I32" s="7"/>
      <c r="J32" s="7" t="s">
        <v>3687</v>
      </c>
    </row>
    <row r="33" customFormat="false" ht="57.45" hidden="false" customHeight="false" outlineLevel="0" collapsed="false">
      <c r="A33" s="7" t="s">
        <v>1035</v>
      </c>
      <c r="B33" s="7" t="s">
        <v>657</v>
      </c>
      <c r="C33" s="7" t="s">
        <v>1029</v>
      </c>
      <c r="D33" s="7" t="s">
        <v>552</v>
      </c>
      <c r="E33" s="7" t="s">
        <v>3688</v>
      </c>
      <c r="F33" s="7" t="s">
        <v>3655</v>
      </c>
      <c r="G33" s="7"/>
      <c r="H33" s="7"/>
      <c r="I33" s="7"/>
      <c r="J33" s="7" t="s">
        <v>3677</v>
      </c>
    </row>
    <row r="34" customFormat="false" ht="57.45" hidden="false" customHeight="false" outlineLevel="0" collapsed="false">
      <c r="A34" s="7" t="s">
        <v>1040</v>
      </c>
      <c r="B34" s="7" t="s">
        <v>664</v>
      </c>
      <c r="C34" s="7" t="s">
        <v>1029</v>
      </c>
      <c r="D34" s="7" t="s">
        <v>552</v>
      </c>
      <c r="E34" s="7" t="s">
        <v>3689</v>
      </c>
      <c r="F34" s="7" t="s">
        <v>3655</v>
      </c>
      <c r="G34" s="7"/>
      <c r="H34" s="7"/>
      <c r="I34" s="7"/>
      <c r="J34" s="7" t="s">
        <v>3677</v>
      </c>
    </row>
    <row r="35" customFormat="false" ht="35.05" hidden="false" customHeight="false" outlineLevel="0" collapsed="false">
      <c r="A35" s="7" t="s">
        <v>689</v>
      </c>
      <c r="B35" s="7" t="s">
        <v>673</v>
      </c>
      <c r="C35" s="7" t="s">
        <v>1029</v>
      </c>
      <c r="D35" s="7" t="s">
        <v>552</v>
      </c>
      <c r="E35" s="7" t="s">
        <v>1044</v>
      </c>
      <c r="F35" s="7" t="s">
        <v>3655</v>
      </c>
      <c r="G35" s="7"/>
      <c r="H35" s="7"/>
      <c r="I35" s="7"/>
      <c r="J35" s="7" t="s">
        <v>3677</v>
      </c>
    </row>
    <row r="36" customFormat="false" ht="23.85" hidden="false" customHeight="false" outlineLevel="0" collapsed="false">
      <c r="A36" s="7" t="s">
        <v>679</v>
      </c>
      <c r="B36" s="7" t="s">
        <v>677</v>
      </c>
      <c r="C36" s="7" t="s">
        <v>1029</v>
      </c>
      <c r="D36" s="7" t="s">
        <v>552</v>
      </c>
      <c r="E36" s="7" t="s">
        <v>1048</v>
      </c>
      <c r="F36" s="7" t="s">
        <v>3655</v>
      </c>
      <c r="G36" s="7"/>
      <c r="H36" s="7"/>
      <c r="I36" s="7"/>
      <c r="J36" s="7" t="s">
        <v>3677</v>
      </c>
    </row>
    <row r="37" customFormat="false" ht="57.45" hidden="false" customHeight="false" outlineLevel="0" collapsed="false">
      <c r="A37" s="7" t="s">
        <v>1052</v>
      </c>
      <c r="B37" s="7" t="s">
        <v>1053</v>
      </c>
      <c r="C37" s="7" t="s">
        <v>1029</v>
      </c>
      <c r="D37" s="7" t="s">
        <v>552</v>
      </c>
      <c r="E37" s="7" t="s">
        <v>1054</v>
      </c>
      <c r="F37" s="7" t="s">
        <v>3655</v>
      </c>
      <c r="G37" s="7"/>
      <c r="H37" s="7"/>
      <c r="I37" s="7"/>
      <c r="J37" s="7" t="s">
        <v>3677</v>
      </c>
    </row>
    <row r="38" customFormat="false" ht="23.85" hidden="false" customHeight="false" outlineLevel="0" collapsed="false">
      <c r="A38" s="7" t="s">
        <v>666</v>
      </c>
      <c r="B38" s="7" t="s">
        <v>683</v>
      </c>
      <c r="C38" s="7" t="s">
        <v>1029</v>
      </c>
      <c r="D38" s="7" t="s">
        <v>552</v>
      </c>
      <c r="E38" s="7" t="s">
        <v>1058</v>
      </c>
      <c r="F38" s="7" t="s">
        <v>3655</v>
      </c>
      <c r="G38" s="7"/>
      <c r="H38" s="7"/>
      <c r="I38" s="7"/>
      <c r="J38" s="7" t="s">
        <v>3677</v>
      </c>
    </row>
    <row r="39" customFormat="false" ht="35.05" hidden="false" customHeight="false" outlineLevel="0" collapsed="false">
      <c r="A39" s="7" t="s">
        <v>671</v>
      </c>
      <c r="B39" s="7" t="s">
        <v>974</v>
      </c>
      <c r="C39" s="7" t="s">
        <v>1029</v>
      </c>
      <c r="D39" s="7" t="s">
        <v>552</v>
      </c>
      <c r="E39" s="7" t="s">
        <v>1062</v>
      </c>
      <c r="F39" s="7" t="s">
        <v>3655</v>
      </c>
      <c r="G39" s="7"/>
      <c r="H39" s="7"/>
      <c r="I39" s="7"/>
      <c r="J39" s="7" t="s">
        <v>3677</v>
      </c>
    </row>
    <row r="40" customFormat="false" ht="35.05" hidden="false" customHeight="false" outlineLevel="0" collapsed="false">
      <c r="A40" s="7" t="s">
        <v>1066</v>
      </c>
      <c r="B40" s="7" t="s">
        <v>1067</v>
      </c>
      <c r="C40" s="7" t="s">
        <v>1029</v>
      </c>
      <c r="D40" s="7" t="s">
        <v>552</v>
      </c>
      <c r="E40" s="7" t="s">
        <v>1068</v>
      </c>
      <c r="F40" s="7" t="s">
        <v>3655</v>
      </c>
      <c r="G40" s="7"/>
      <c r="H40" s="7"/>
      <c r="I40" s="7"/>
      <c r="J40" s="7" t="s">
        <v>3677</v>
      </c>
    </row>
    <row r="41" customFormat="false" ht="46.25" hidden="false" customHeight="false" outlineLevel="0" collapsed="false">
      <c r="A41" s="7" t="s">
        <v>697</v>
      </c>
      <c r="B41" s="7" t="s">
        <v>977</v>
      </c>
      <c r="C41" s="7" t="s">
        <v>1029</v>
      </c>
      <c r="D41" s="7" t="s">
        <v>564</v>
      </c>
      <c r="E41" s="7" t="s">
        <v>1070</v>
      </c>
      <c r="F41" s="7" t="s">
        <v>3664</v>
      </c>
      <c r="G41" s="7"/>
      <c r="H41" s="7"/>
      <c r="I41" s="7"/>
      <c r="J41" s="7" t="s">
        <v>3679</v>
      </c>
    </row>
    <row r="42" customFormat="false" ht="23.85" hidden="false" customHeight="false" outlineLevel="0" collapsed="false">
      <c r="A42" s="7" t="s">
        <v>1074</v>
      </c>
      <c r="B42" s="7" t="s">
        <v>588</v>
      </c>
      <c r="C42" s="7" t="s">
        <v>1029</v>
      </c>
      <c r="D42" s="7" t="s">
        <v>575</v>
      </c>
      <c r="E42" s="7" t="s">
        <v>1075</v>
      </c>
      <c r="F42" s="7" t="s">
        <v>3659</v>
      </c>
      <c r="G42" s="7"/>
      <c r="H42" s="7"/>
      <c r="I42" s="7"/>
      <c r="J42" s="7" t="s">
        <v>3680</v>
      </c>
    </row>
    <row r="43" customFormat="false" ht="35.05" hidden="false" customHeight="false" outlineLevel="0" collapsed="false">
      <c r="A43" s="7" t="s">
        <v>1078</v>
      </c>
      <c r="B43" s="7" t="s">
        <v>1079</v>
      </c>
      <c r="C43" s="7" t="s">
        <v>1029</v>
      </c>
      <c r="D43" s="7" t="s">
        <v>575</v>
      </c>
      <c r="E43" s="7" t="s">
        <v>1080</v>
      </c>
      <c r="F43" s="7" t="s">
        <v>3659</v>
      </c>
      <c r="G43" s="7"/>
      <c r="H43" s="7"/>
      <c r="I43" s="7"/>
      <c r="J43" s="7" t="s">
        <v>3680</v>
      </c>
    </row>
    <row r="44" customFormat="false" ht="23.85" hidden="false" customHeight="false" outlineLevel="0" collapsed="false">
      <c r="A44" s="7" t="s">
        <v>705</v>
      </c>
      <c r="B44" s="7" t="s">
        <v>978</v>
      </c>
      <c r="C44" s="7" t="s">
        <v>1029</v>
      </c>
      <c r="D44" s="7" t="s">
        <v>575</v>
      </c>
      <c r="E44" s="7" t="s">
        <v>1083</v>
      </c>
      <c r="F44" s="7" t="s">
        <v>3659</v>
      </c>
      <c r="G44" s="7"/>
      <c r="H44" s="7"/>
      <c r="I44" s="7"/>
      <c r="J44" s="7" t="s">
        <v>3680</v>
      </c>
    </row>
    <row r="45" customFormat="false" ht="23.85" hidden="false" customHeight="false" outlineLevel="0" collapsed="false">
      <c r="A45" s="7" t="s">
        <v>1086</v>
      </c>
      <c r="B45" s="7" t="s">
        <v>1087</v>
      </c>
      <c r="C45" s="7" t="s">
        <v>1029</v>
      </c>
      <c r="D45" s="7" t="s">
        <v>575</v>
      </c>
      <c r="E45" s="7" t="s">
        <v>1088</v>
      </c>
      <c r="F45" s="7" t="s">
        <v>3659</v>
      </c>
      <c r="G45" s="7"/>
      <c r="H45" s="7"/>
      <c r="I45" s="7"/>
      <c r="J45" s="7" t="s">
        <v>3680</v>
      </c>
    </row>
    <row r="46" customFormat="false" ht="23.85" hidden="false" customHeight="false" outlineLevel="0" collapsed="false">
      <c r="A46" s="7" t="s">
        <v>1092</v>
      </c>
      <c r="B46" s="7" t="s">
        <v>1093</v>
      </c>
      <c r="C46" s="7" t="s">
        <v>1029</v>
      </c>
      <c r="D46" s="7" t="s">
        <v>575</v>
      </c>
      <c r="E46" s="7" t="s">
        <v>1094</v>
      </c>
      <c r="F46" s="7" t="s">
        <v>3659</v>
      </c>
      <c r="G46" s="7"/>
      <c r="H46" s="7"/>
      <c r="I46" s="7"/>
      <c r="J46" s="7" t="s">
        <v>3680</v>
      </c>
    </row>
    <row r="47" customFormat="false" ht="46.25" hidden="false" customHeight="false" outlineLevel="0" collapsed="false">
      <c r="A47" s="7" t="s">
        <v>717</v>
      </c>
      <c r="B47" s="7" t="s">
        <v>981</v>
      </c>
      <c r="C47" s="7" t="s">
        <v>1029</v>
      </c>
      <c r="D47" s="7" t="s">
        <v>575</v>
      </c>
      <c r="E47" s="7" t="s">
        <v>1098</v>
      </c>
      <c r="F47" s="7" t="s">
        <v>3659</v>
      </c>
      <c r="G47" s="7" t="s">
        <v>133</v>
      </c>
      <c r="H47" s="7"/>
      <c r="I47" s="7"/>
      <c r="J47" s="7" t="s">
        <v>3680</v>
      </c>
    </row>
    <row r="48" customFormat="false" ht="46.25" hidden="false" customHeight="false" outlineLevel="0" collapsed="false">
      <c r="A48" s="7" t="s">
        <v>725</v>
      </c>
      <c r="B48" s="7" t="s">
        <v>982</v>
      </c>
      <c r="C48" s="7" t="s">
        <v>1029</v>
      </c>
      <c r="D48" s="7" t="s">
        <v>584</v>
      </c>
      <c r="E48" s="7" t="s">
        <v>1101</v>
      </c>
      <c r="F48" s="7" t="s">
        <v>3656</v>
      </c>
      <c r="G48" s="7"/>
      <c r="H48" s="7"/>
      <c r="I48" s="7"/>
      <c r="J48" s="7" t="s">
        <v>3681</v>
      </c>
    </row>
    <row r="49" customFormat="false" ht="35.05" hidden="false" customHeight="false" outlineLevel="0" collapsed="false">
      <c r="A49" s="7" t="s">
        <v>729</v>
      </c>
      <c r="B49" s="7" t="s">
        <v>983</v>
      </c>
      <c r="C49" s="7" t="s">
        <v>1029</v>
      </c>
      <c r="D49" s="7" t="s">
        <v>584</v>
      </c>
      <c r="E49" s="7" t="s">
        <v>1104</v>
      </c>
      <c r="F49" s="7" t="s">
        <v>3656</v>
      </c>
      <c r="G49" s="7"/>
      <c r="H49" s="7"/>
      <c r="I49" s="7"/>
      <c r="J49" s="7" t="s">
        <v>3681</v>
      </c>
    </row>
    <row r="50" customFormat="false" ht="46.25" hidden="false" customHeight="false" outlineLevel="0" collapsed="false">
      <c r="A50" s="7" t="s">
        <v>733</v>
      </c>
      <c r="B50" s="7" t="s">
        <v>984</v>
      </c>
      <c r="C50" s="7" t="s">
        <v>1029</v>
      </c>
      <c r="D50" s="7" t="s">
        <v>584</v>
      </c>
      <c r="E50" s="7" t="s">
        <v>1107</v>
      </c>
      <c r="F50" s="7" t="s">
        <v>3656</v>
      </c>
      <c r="G50" s="7"/>
      <c r="H50" s="7"/>
      <c r="I50" s="7"/>
      <c r="J50" s="7" t="s">
        <v>3681</v>
      </c>
    </row>
    <row r="51" customFormat="false" ht="23.85" hidden="false" customHeight="false" outlineLevel="0" collapsed="false">
      <c r="A51" s="7" t="s">
        <v>747</v>
      </c>
      <c r="B51" s="7" t="s">
        <v>986</v>
      </c>
      <c r="C51" s="7" t="s">
        <v>1029</v>
      </c>
      <c r="D51" s="7" t="s">
        <v>584</v>
      </c>
      <c r="E51" s="7" t="s">
        <v>1110</v>
      </c>
      <c r="F51" s="7" t="s">
        <v>3656</v>
      </c>
      <c r="G51" s="7"/>
      <c r="H51" s="7"/>
      <c r="I51" s="7"/>
      <c r="J51" s="7" t="s">
        <v>3681</v>
      </c>
    </row>
    <row r="52" customFormat="false" ht="46.25" hidden="false" customHeight="false" outlineLevel="0" collapsed="false">
      <c r="A52" s="7" t="s">
        <v>743</v>
      </c>
      <c r="B52" s="7" t="s">
        <v>985</v>
      </c>
      <c r="C52" s="7" t="s">
        <v>1029</v>
      </c>
      <c r="D52" s="7" t="s">
        <v>584</v>
      </c>
      <c r="E52" s="7" t="s">
        <v>1114</v>
      </c>
      <c r="F52" s="7" t="s">
        <v>3656</v>
      </c>
      <c r="G52" s="7"/>
      <c r="H52" s="7"/>
      <c r="I52" s="7"/>
      <c r="J52" s="7" t="s">
        <v>3681</v>
      </c>
    </row>
    <row r="53" customFormat="false" ht="46.25" hidden="false" customHeight="false" outlineLevel="0" collapsed="false">
      <c r="A53" s="7" t="s">
        <v>751</v>
      </c>
      <c r="B53" s="7" t="s">
        <v>987</v>
      </c>
      <c r="C53" s="7" t="s">
        <v>1029</v>
      </c>
      <c r="D53" s="7" t="s">
        <v>584</v>
      </c>
      <c r="E53" s="7" t="s">
        <v>1117</v>
      </c>
      <c r="F53" s="7" t="s">
        <v>3690</v>
      </c>
      <c r="G53" s="7"/>
      <c r="H53" s="7"/>
      <c r="I53" s="7"/>
      <c r="J53" s="7" t="s">
        <v>3691</v>
      </c>
    </row>
    <row r="54" customFormat="false" ht="23.85" hidden="false" customHeight="false" outlineLevel="0" collapsed="false">
      <c r="A54" s="7" t="s">
        <v>755</v>
      </c>
      <c r="B54" s="7" t="s">
        <v>988</v>
      </c>
      <c r="C54" s="7" t="s">
        <v>1029</v>
      </c>
      <c r="D54" s="7" t="s">
        <v>584</v>
      </c>
      <c r="E54" s="7" t="s">
        <v>1122</v>
      </c>
      <c r="F54" s="7" t="s">
        <v>3656</v>
      </c>
      <c r="G54" s="7"/>
      <c r="H54" s="7"/>
      <c r="I54" s="7"/>
      <c r="J54" s="7" t="s">
        <v>3681</v>
      </c>
    </row>
    <row r="55" customFormat="false" ht="46.25" hidden="false" customHeight="false" outlineLevel="0" collapsed="false">
      <c r="A55" s="7" t="s">
        <v>1125</v>
      </c>
      <c r="B55" s="7" t="s">
        <v>1126</v>
      </c>
      <c r="C55" s="7" t="s">
        <v>1029</v>
      </c>
      <c r="D55" s="7" t="s">
        <v>584</v>
      </c>
      <c r="E55" s="7" t="s">
        <v>1127</v>
      </c>
      <c r="F55" s="7" t="s">
        <v>3657</v>
      </c>
      <c r="G55" s="7"/>
      <c r="H55" s="7"/>
      <c r="I55" s="7"/>
      <c r="J55" s="7" t="s">
        <v>3692</v>
      </c>
    </row>
    <row r="56" customFormat="false" ht="35.05" hidden="false" customHeight="false" outlineLevel="0" collapsed="false">
      <c r="A56" s="7" t="s">
        <v>762</v>
      </c>
      <c r="B56" s="7" t="s">
        <v>989</v>
      </c>
      <c r="C56" s="7" t="s">
        <v>1029</v>
      </c>
      <c r="D56" s="7" t="s">
        <v>584</v>
      </c>
      <c r="E56" s="7" t="s">
        <v>1132</v>
      </c>
      <c r="F56" s="7" t="s">
        <v>3656</v>
      </c>
      <c r="G56" s="7"/>
      <c r="H56" s="7"/>
      <c r="I56" s="7"/>
      <c r="J56" s="7" t="s">
        <v>3681</v>
      </c>
    </row>
    <row r="57" customFormat="false" ht="46.25" hidden="false" customHeight="false" outlineLevel="0" collapsed="false">
      <c r="A57" s="7" t="s">
        <v>770</v>
      </c>
      <c r="B57" s="7" t="s">
        <v>991</v>
      </c>
      <c r="C57" s="7" t="s">
        <v>1029</v>
      </c>
      <c r="D57" s="7" t="s">
        <v>584</v>
      </c>
      <c r="E57" s="7" t="s">
        <v>1136</v>
      </c>
      <c r="F57" s="7" t="s">
        <v>3663</v>
      </c>
      <c r="G57" s="7"/>
      <c r="H57" s="7"/>
      <c r="I57" s="7"/>
      <c r="J57" s="7" t="s">
        <v>3687</v>
      </c>
    </row>
    <row r="58" customFormat="false" ht="35.05" hidden="false" customHeight="false" outlineLevel="0" collapsed="false">
      <c r="A58" s="7" t="s">
        <v>774</v>
      </c>
      <c r="B58" s="7" t="s">
        <v>992</v>
      </c>
      <c r="C58" s="7" t="s">
        <v>1029</v>
      </c>
      <c r="D58" s="7" t="s">
        <v>584</v>
      </c>
      <c r="E58" s="7" t="s">
        <v>1139</v>
      </c>
      <c r="F58" s="7" t="s">
        <v>3668</v>
      </c>
      <c r="G58" s="7"/>
      <c r="H58" s="7"/>
      <c r="I58" s="7"/>
      <c r="J58" s="7" t="s">
        <v>3693</v>
      </c>
    </row>
    <row r="59" customFormat="false" ht="23.85" hidden="false" customHeight="false" outlineLevel="0" collapsed="false">
      <c r="A59" s="7" t="s">
        <v>791</v>
      </c>
      <c r="B59" s="7" t="s">
        <v>994</v>
      </c>
      <c r="C59" s="7" t="s">
        <v>1029</v>
      </c>
      <c r="D59" s="7" t="s">
        <v>584</v>
      </c>
      <c r="E59" s="7" t="s">
        <v>1143</v>
      </c>
      <c r="F59" s="7" t="s">
        <v>3656</v>
      </c>
      <c r="G59" s="7"/>
      <c r="H59" s="7"/>
      <c r="I59" s="7"/>
      <c r="J59" s="7" t="s">
        <v>3681</v>
      </c>
    </row>
    <row r="60" customFormat="false" ht="46.25" hidden="false" customHeight="false" outlineLevel="0" collapsed="false">
      <c r="A60" s="7" t="s">
        <v>781</v>
      </c>
      <c r="B60" s="7" t="s">
        <v>993</v>
      </c>
      <c r="C60" s="7" t="s">
        <v>1029</v>
      </c>
      <c r="D60" s="7" t="s">
        <v>584</v>
      </c>
      <c r="E60" s="7" t="s">
        <v>1147</v>
      </c>
      <c r="F60" s="7" t="s">
        <v>3663</v>
      </c>
      <c r="G60" s="7"/>
      <c r="H60" s="7"/>
      <c r="I60" s="7"/>
      <c r="J60" s="7" t="s">
        <v>3687</v>
      </c>
    </row>
    <row r="61" customFormat="false" ht="35.05" hidden="false" customHeight="false" outlineLevel="0" collapsed="false">
      <c r="A61" s="7" t="s">
        <v>799</v>
      </c>
      <c r="B61" s="7" t="s">
        <v>995</v>
      </c>
      <c r="C61" s="7" t="s">
        <v>1029</v>
      </c>
      <c r="D61" s="7" t="s">
        <v>594</v>
      </c>
      <c r="E61" s="7" t="s">
        <v>1151</v>
      </c>
      <c r="F61" s="7" t="s">
        <v>3658</v>
      </c>
      <c r="G61" s="7"/>
      <c r="H61" s="7"/>
      <c r="I61" s="7"/>
      <c r="J61" s="7" t="s">
        <v>3682</v>
      </c>
    </row>
    <row r="62" customFormat="false" ht="35.05" hidden="false" customHeight="false" outlineLevel="0" collapsed="false">
      <c r="A62" s="7" t="s">
        <v>1155</v>
      </c>
      <c r="B62" s="7" t="s">
        <v>1156</v>
      </c>
      <c r="C62" s="7" t="s">
        <v>1029</v>
      </c>
      <c r="D62" s="7" t="s">
        <v>594</v>
      </c>
      <c r="E62" s="7" t="s">
        <v>1157</v>
      </c>
      <c r="F62" s="7" t="s">
        <v>3694</v>
      </c>
      <c r="G62" s="7"/>
      <c r="H62" s="7"/>
      <c r="I62" s="7"/>
      <c r="J62" s="7" t="s">
        <v>3695</v>
      </c>
    </row>
    <row r="63" customFormat="false" ht="46.25" hidden="false" customHeight="false" outlineLevel="0" collapsed="false">
      <c r="A63" s="7" t="s">
        <v>803</v>
      </c>
      <c r="B63" s="7" t="s">
        <v>996</v>
      </c>
      <c r="C63" s="7" t="s">
        <v>1029</v>
      </c>
      <c r="D63" s="7" t="s">
        <v>594</v>
      </c>
      <c r="E63" s="7" t="s">
        <v>1162</v>
      </c>
      <c r="F63" s="7" t="s">
        <v>3658</v>
      </c>
      <c r="G63" s="7"/>
      <c r="H63" s="7"/>
      <c r="I63" s="7"/>
      <c r="J63" s="7" t="s">
        <v>3682</v>
      </c>
    </row>
    <row r="64" customFormat="false" ht="35.05" hidden="false" customHeight="false" outlineLevel="0" collapsed="false">
      <c r="A64" s="7" t="s">
        <v>1165</v>
      </c>
      <c r="B64" s="7" t="s">
        <v>1166</v>
      </c>
      <c r="C64" s="7" t="s">
        <v>1029</v>
      </c>
      <c r="D64" s="7" t="s">
        <v>594</v>
      </c>
      <c r="E64" s="7" t="s">
        <v>1167</v>
      </c>
      <c r="F64" s="7" t="s">
        <v>3658</v>
      </c>
      <c r="G64" s="7"/>
      <c r="H64" s="7"/>
      <c r="I64" s="7"/>
      <c r="J64" s="7" t="s">
        <v>3682</v>
      </c>
    </row>
    <row r="65" customFormat="false" ht="23.85" hidden="false" customHeight="false" outlineLevel="0" collapsed="false">
      <c r="A65" s="7" t="s">
        <v>1171</v>
      </c>
      <c r="B65" s="7" t="s">
        <v>1172</v>
      </c>
      <c r="C65" s="7" t="s">
        <v>1029</v>
      </c>
      <c r="D65" s="7" t="s">
        <v>594</v>
      </c>
      <c r="E65" s="7" t="s">
        <v>1173</v>
      </c>
      <c r="F65" s="7" t="s">
        <v>3658</v>
      </c>
      <c r="G65" s="7"/>
      <c r="H65" s="7"/>
      <c r="I65" s="7"/>
      <c r="J65" s="7" t="s">
        <v>3682</v>
      </c>
    </row>
    <row r="66" customFormat="false" ht="35.05" hidden="false" customHeight="false" outlineLevel="0" collapsed="false">
      <c r="A66" s="7" t="s">
        <v>814</v>
      </c>
      <c r="B66" s="7" t="s">
        <v>998</v>
      </c>
      <c r="C66" s="7" t="s">
        <v>1029</v>
      </c>
      <c r="D66" s="7" t="s">
        <v>594</v>
      </c>
      <c r="E66" s="7" t="s">
        <v>1177</v>
      </c>
      <c r="F66" s="7" t="s">
        <v>3658</v>
      </c>
      <c r="G66" s="7" t="s">
        <v>133</v>
      </c>
      <c r="H66" s="7"/>
      <c r="I66" s="7"/>
      <c r="J66" s="7" t="s">
        <v>3682</v>
      </c>
    </row>
    <row r="67" customFormat="false" ht="46.25" hidden="false" customHeight="false" outlineLevel="0" collapsed="false">
      <c r="A67" s="7" t="s">
        <v>818</v>
      </c>
      <c r="B67" s="7" t="s">
        <v>999</v>
      </c>
      <c r="C67" s="7" t="s">
        <v>1029</v>
      </c>
      <c r="D67" s="7" t="s">
        <v>594</v>
      </c>
      <c r="E67" s="7" t="s">
        <v>1180</v>
      </c>
      <c r="F67" s="7" t="s">
        <v>3658</v>
      </c>
      <c r="G67" s="7" t="s">
        <v>133</v>
      </c>
      <c r="H67" s="7"/>
      <c r="I67" s="7"/>
      <c r="J67" s="7" t="s">
        <v>3682</v>
      </c>
    </row>
    <row r="68" customFormat="false" ht="23.85" hidden="false" customHeight="false" outlineLevel="0" collapsed="false">
      <c r="A68" s="7" t="s">
        <v>1183</v>
      </c>
      <c r="B68" s="7" t="s">
        <v>617</v>
      </c>
      <c r="C68" s="7" t="s">
        <v>1029</v>
      </c>
      <c r="D68" s="7" t="s">
        <v>1184</v>
      </c>
      <c r="E68" s="7" t="s">
        <v>1185</v>
      </c>
      <c r="F68" s="7" t="s">
        <v>3696</v>
      </c>
      <c r="G68" s="7"/>
      <c r="H68" s="7"/>
      <c r="I68" s="7"/>
      <c r="J68" s="7" t="s">
        <v>3697</v>
      </c>
    </row>
    <row r="69" customFormat="false" ht="23.85" hidden="false" customHeight="false" outlineLevel="0" collapsed="false">
      <c r="A69" s="7" t="s">
        <v>1190</v>
      </c>
      <c r="B69" s="7" t="s">
        <v>1191</v>
      </c>
      <c r="C69" s="7" t="s">
        <v>1029</v>
      </c>
      <c r="D69" s="7" t="s">
        <v>1184</v>
      </c>
      <c r="E69" s="7" t="s">
        <v>1192</v>
      </c>
      <c r="F69" s="7" t="s">
        <v>3696</v>
      </c>
      <c r="G69" s="7"/>
      <c r="H69" s="7"/>
      <c r="I69" s="7"/>
      <c r="J69" s="7" t="s">
        <v>3697</v>
      </c>
    </row>
    <row r="70" customFormat="false" ht="23.85" hidden="false" customHeight="false" outlineLevel="0" collapsed="false">
      <c r="A70" s="7" t="s">
        <v>1194</v>
      </c>
      <c r="B70" s="7" t="s">
        <v>884</v>
      </c>
      <c r="C70" s="7" t="s">
        <v>1029</v>
      </c>
      <c r="D70" s="7" t="s">
        <v>1184</v>
      </c>
      <c r="E70" s="7" t="s">
        <v>1195</v>
      </c>
      <c r="F70" s="7" t="s">
        <v>3696</v>
      </c>
      <c r="G70" s="7"/>
      <c r="H70" s="7"/>
      <c r="I70" s="7"/>
      <c r="J70" s="7" t="s">
        <v>3697</v>
      </c>
    </row>
    <row r="71" customFormat="false" ht="23.85" hidden="false" customHeight="false" outlineLevel="0" collapsed="false">
      <c r="A71" s="7" t="s">
        <v>827</v>
      </c>
      <c r="B71" s="7" t="s">
        <v>1001</v>
      </c>
      <c r="C71" s="7" t="s">
        <v>1029</v>
      </c>
      <c r="D71" s="7" t="s">
        <v>1184</v>
      </c>
      <c r="E71" s="7" t="s">
        <v>1199</v>
      </c>
      <c r="F71" s="7" t="s">
        <v>3696</v>
      </c>
      <c r="G71" s="7"/>
      <c r="H71" s="7"/>
      <c r="I71" s="7"/>
      <c r="J71" s="7" t="s">
        <v>3697</v>
      </c>
    </row>
    <row r="72" customFormat="false" ht="23.85" hidden="false" customHeight="false" outlineLevel="0" collapsed="false">
      <c r="A72" s="7" t="s">
        <v>831</v>
      </c>
      <c r="B72" s="7" t="s">
        <v>888</v>
      </c>
      <c r="C72" s="7" t="s">
        <v>1029</v>
      </c>
      <c r="D72" s="7" t="s">
        <v>1184</v>
      </c>
      <c r="E72" s="7" t="s">
        <v>1202</v>
      </c>
      <c r="F72" s="7" t="s">
        <v>3662</v>
      </c>
      <c r="G72" s="7"/>
      <c r="H72" s="7"/>
      <c r="I72" s="7"/>
      <c r="J72" s="7" t="s">
        <v>3698</v>
      </c>
    </row>
    <row r="73" customFormat="false" ht="46.25" hidden="false" customHeight="false" outlineLevel="0" collapsed="false">
      <c r="A73" s="7" t="s">
        <v>836</v>
      </c>
      <c r="B73" s="7" t="s">
        <v>1002</v>
      </c>
      <c r="C73" s="7" t="s">
        <v>1029</v>
      </c>
      <c r="D73" s="7" t="s">
        <v>1207</v>
      </c>
      <c r="E73" s="7" t="s">
        <v>1208</v>
      </c>
      <c r="F73" s="7" t="s">
        <v>3668</v>
      </c>
      <c r="G73" s="7" t="s">
        <v>133</v>
      </c>
      <c r="H73" s="7"/>
      <c r="I73" s="7"/>
      <c r="J73" s="7" t="s">
        <v>3693</v>
      </c>
    </row>
    <row r="74" customFormat="false" ht="57.45" hidden="false" customHeight="false" outlineLevel="0" collapsed="false">
      <c r="A74" s="7" t="s">
        <v>1212</v>
      </c>
      <c r="B74" s="7" t="s">
        <v>1213</v>
      </c>
      <c r="C74" s="7" t="s">
        <v>1029</v>
      </c>
      <c r="D74" s="7" t="s">
        <v>1207</v>
      </c>
      <c r="E74" s="7" t="s">
        <v>3699</v>
      </c>
      <c r="F74" s="7" t="s">
        <v>3668</v>
      </c>
      <c r="G74" s="7"/>
      <c r="H74" s="7"/>
      <c r="I74" s="7"/>
      <c r="J74" s="7" t="s">
        <v>3693</v>
      </c>
    </row>
    <row r="75" customFormat="false" ht="35.05" hidden="false" customHeight="false" outlineLevel="0" collapsed="false">
      <c r="A75" s="7" t="s">
        <v>1217</v>
      </c>
      <c r="B75" s="7" t="s">
        <v>1218</v>
      </c>
      <c r="C75" s="7" t="s">
        <v>1029</v>
      </c>
      <c r="D75" s="7" t="s">
        <v>1207</v>
      </c>
      <c r="E75" s="7" t="s">
        <v>1219</v>
      </c>
      <c r="F75" s="7" t="s">
        <v>3668</v>
      </c>
      <c r="G75" s="7"/>
      <c r="H75" s="7"/>
      <c r="I75" s="7"/>
      <c r="J75" s="7" t="s">
        <v>3693</v>
      </c>
    </row>
    <row r="76" customFormat="false" ht="23.85" hidden="false" customHeight="false" outlineLevel="0" collapsed="false">
      <c r="A76" s="7" t="s">
        <v>843</v>
      </c>
      <c r="B76" s="7" t="s">
        <v>1003</v>
      </c>
      <c r="C76" s="7" t="s">
        <v>1029</v>
      </c>
      <c r="D76" s="7" t="s">
        <v>1207</v>
      </c>
      <c r="E76" s="7" t="s">
        <v>1221</v>
      </c>
      <c r="F76" s="7" t="s">
        <v>3668</v>
      </c>
      <c r="G76" s="7"/>
      <c r="H76" s="7"/>
      <c r="I76" s="7"/>
      <c r="J76" s="7" t="s">
        <v>3693</v>
      </c>
    </row>
    <row r="77" customFormat="false" ht="46.25" hidden="false" customHeight="false" outlineLevel="0" collapsed="false">
      <c r="A77" s="7" t="s">
        <v>1224</v>
      </c>
      <c r="B77" s="7" t="s">
        <v>904</v>
      </c>
      <c r="C77" s="7" t="s">
        <v>1029</v>
      </c>
      <c r="D77" s="7" t="s">
        <v>1207</v>
      </c>
      <c r="E77" s="7" t="s">
        <v>1225</v>
      </c>
      <c r="F77" s="7" t="s">
        <v>3700</v>
      </c>
      <c r="G77" s="7"/>
      <c r="H77" s="7"/>
      <c r="I77" s="7"/>
      <c r="J77" s="7" t="s">
        <v>3701</v>
      </c>
    </row>
    <row r="78" customFormat="false" ht="46.25" hidden="false" customHeight="false" outlineLevel="0" collapsed="false">
      <c r="A78" s="7" t="s">
        <v>1230</v>
      </c>
      <c r="B78" s="7" t="s">
        <v>1231</v>
      </c>
      <c r="C78" s="7" t="s">
        <v>1029</v>
      </c>
      <c r="D78" s="7" t="s">
        <v>1207</v>
      </c>
      <c r="E78" s="7" t="s">
        <v>1232</v>
      </c>
      <c r="F78" s="7" t="s">
        <v>3700</v>
      </c>
      <c r="G78" s="7"/>
      <c r="H78" s="7"/>
      <c r="I78" s="7"/>
      <c r="J78" s="7" t="s">
        <v>3701</v>
      </c>
    </row>
    <row r="79" customFormat="false" ht="35.05" hidden="false" customHeight="false" outlineLevel="0" collapsed="false">
      <c r="A79" s="7" t="s">
        <v>854</v>
      </c>
      <c r="B79" s="7" t="s">
        <v>913</v>
      </c>
      <c r="C79" s="7" t="s">
        <v>1029</v>
      </c>
      <c r="D79" s="7" t="s">
        <v>1207</v>
      </c>
      <c r="E79" s="7" t="s">
        <v>1235</v>
      </c>
      <c r="F79" s="7" t="s">
        <v>3700</v>
      </c>
      <c r="G79" s="7"/>
      <c r="H79" s="7"/>
      <c r="I79" s="7"/>
      <c r="J79" s="7" t="s">
        <v>3701</v>
      </c>
    </row>
    <row r="80" customFormat="false" ht="46.25" hidden="false" customHeight="false" outlineLevel="0" collapsed="false">
      <c r="A80" s="7" t="s">
        <v>1238</v>
      </c>
      <c r="B80" s="7" t="s">
        <v>1239</v>
      </c>
      <c r="C80" s="7" t="s">
        <v>1029</v>
      </c>
      <c r="D80" s="7" t="s">
        <v>1207</v>
      </c>
      <c r="E80" s="7" t="s">
        <v>1240</v>
      </c>
      <c r="F80" s="7" t="s">
        <v>3669</v>
      </c>
      <c r="G80" s="7"/>
      <c r="H80" s="7"/>
      <c r="I80" s="7"/>
      <c r="J80" s="7" t="s">
        <v>3702</v>
      </c>
    </row>
    <row r="81" customFormat="false" ht="23.85" hidden="false" customHeight="false" outlineLevel="0" collapsed="false">
      <c r="A81" s="7" t="s">
        <v>1245</v>
      </c>
      <c r="B81" s="7" t="s">
        <v>929</v>
      </c>
      <c r="C81" s="7" t="s">
        <v>1029</v>
      </c>
      <c r="D81" s="7" t="s">
        <v>1207</v>
      </c>
      <c r="E81" s="7" t="s">
        <v>1246</v>
      </c>
      <c r="F81" s="7" t="s">
        <v>3669</v>
      </c>
      <c r="G81" s="7"/>
      <c r="H81" s="7"/>
      <c r="I81" s="7"/>
      <c r="J81" s="7" t="s">
        <v>3702</v>
      </c>
    </row>
    <row r="82" customFormat="false" ht="23.85" hidden="false" customHeight="false" outlineLevel="0" collapsed="false">
      <c r="A82" s="7" t="s">
        <v>866</v>
      </c>
      <c r="B82" s="7" t="s">
        <v>940</v>
      </c>
      <c r="C82" s="7" t="s">
        <v>1029</v>
      </c>
      <c r="D82" s="7" t="s">
        <v>613</v>
      </c>
      <c r="E82" s="7" t="s">
        <v>1250</v>
      </c>
      <c r="F82" s="7" t="s">
        <v>3665</v>
      </c>
      <c r="G82" s="7"/>
      <c r="H82" s="7"/>
      <c r="I82" s="7"/>
      <c r="J82" s="7" t="s">
        <v>3683</v>
      </c>
    </row>
    <row r="83" customFormat="false" ht="23.85" hidden="false" customHeight="false" outlineLevel="0" collapsed="false">
      <c r="A83" s="7" t="s">
        <v>870</v>
      </c>
      <c r="B83" s="7" t="s">
        <v>944</v>
      </c>
      <c r="C83" s="7" t="s">
        <v>1029</v>
      </c>
      <c r="D83" s="7" t="s">
        <v>613</v>
      </c>
      <c r="E83" s="7" t="s">
        <v>1253</v>
      </c>
      <c r="F83" s="7" t="s">
        <v>3665</v>
      </c>
      <c r="G83" s="7"/>
      <c r="H83" s="7"/>
      <c r="I83" s="7"/>
      <c r="J83" s="7" t="s">
        <v>3683</v>
      </c>
    </row>
    <row r="84" customFormat="false" ht="23.85" hidden="false" customHeight="false" outlineLevel="0" collapsed="false">
      <c r="A84" s="7" t="s">
        <v>878</v>
      </c>
      <c r="B84" s="7" t="s">
        <v>960</v>
      </c>
      <c r="C84" s="7" t="s">
        <v>1029</v>
      </c>
      <c r="D84" s="7" t="s">
        <v>613</v>
      </c>
      <c r="E84" s="7" t="s">
        <v>1256</v>
      </c>
      <c r="F84" s="7" t="s">
        <v>3665</v>
      </c>
      <c r="G84" s="7"/>
      <c r="H84" s="7"/>
      <c r="I84" s="7"/>
      <c r="J84" s="7" t="s">
        <v>3683</v>
      </c>
    </row>
    <row r="85" customFormat="false" ht="23.85" hidden="false" customHeight="false" outlineLevel="0" collapsed="false">
      <c r="A85" s="7" t="s">
        <v>882</v>
      </c>
      <c r="B85" s="7" t="s">
        <v>963</v>
      </c>
      <c r="C85" s="7" t="s">
        <v>1029</v>
      </c>
      <c r="D85" s="7" t="s">
        <v>613</v>
      </c>
      <c r="E85" s="7" t="s">
        <v>1259</v>
      </c>
      <c r="F85" s="7" t="s">
        <v>3665</v>
      </c>
      <c r="G85" s="7"/>
      <c r="H85" s="7"/>
      <c r="I85" s="7"/>
      <c r="J85" s="7" t="s">
        <v>3683</v>
      </c>
    </row>
    <row r="86" customFormat="false" ht="23.85" hidden="false" customHeight="false" outlineLevel="0" collapsed="false">
      <c r="A86" s="7" t="s">
        <v>874</v>
      </c>
      <c r="B86" s="7" t="s">
        <v>1006</v>
      </c>
      <c r="C86" s="7" t="s">
        <v>1029</v>
      </c>
      <c r="D86" s="7" t="s">
        <v>613</v>
      </c>
      <c r="E86" s="7" t="s">
        <v>1261</v>
      </c>
      <c r="F86" s="7" t="s">
        <v>3665</v>
      </c>
      <c r="G86" s="7"/>
      <c r="H86" s="7"/>
      <c r="I86" s="7"/>
      <c r="J86" s="7" t="s">
        <v>3683</v>
      </c>
    </row>
    <row r="87" customFormat="false" ht="23.85" hidden="false" customHeight="false" outlineLevel="0" collapsed="false">
      <c r="A87" s="7" t="s">
        <v>890</v>
      </c>
      <c r="B87" s="7" t="s">
        <v>1008</v>
      </c>
      <c r="C87" s="7" t="s">
        <v>1029</v>
      </c>
      <c r="D87" s="7" t="s">
        <v>613</v>
      </c>
      <c r="E87" s="7" t="s">
        <v>1264</v>
      </c>
      <c r="F87" s="7" t="s">
        <v>3665</v>
      </c>
      <c r="G87" s="7"/>
      <c r="H87" s="7"/>
      <c r="I87" s="7"/>
      <c r="J87" s="7" t="s">
        <v>3683</v>
      </c>
    </row>
    <row r="88" customFormat="false" ht="23.85" hidden="false" customHeight="false" outlineLevel="0" collapsed="false">
      <c r="A88" s="7" t="s">
        <v>894</v>
      </c>
      <c r="B88" s="7" t="s">
        <v>1009</v>
      </c>
      <c r="C88" s="7" t="s">
        <v>1029</v>
      </c>
      <c r="D88" s="7" t="s">
        <v>613</v>
      </c>
      <c r="E88" s="7" t="s">
        <v>1268</v>
      </c>
      <c r="F88" s="7" t="s">
        <v>3665</v>
      </c>
      <c r="G88" s="7"/>
      <c r="H88" s="7"/>
      <c r="I88" s="7"/>
      <c r="J88" s="7" t="s">
        <v>3683</v>
      </c>
    </row>
    <row r="89" customFormat="false" ht="23.85" hidden="false" customHeight="false" outlineLevel="0" collapsed="false">
      <c r="A89" s="7" t="s">
        <v>898</v>
      </c>
      <c r="B89" s="7" t="s">
        <v>1010</v>
      </c>
      <c r="C89" s="7" t="s">
        <v>1029</v>
      </c>
      <c r="D89" s="7" t="s">
        <v>613</v>
      </c>
      <c r="E89" s="7" t="s">
        <v>1272</v>
      </c>
      <c r="F89" s="7" t="s">
        <v>3666</v>
      </c>
      <c r="G89" s="7"/>
      <c r="H89" s="7"/>
      <c r="I89" s="7"/>
      <c r="J89" s="7" t="s">
        <v>3703</v>
      </c>
    </row>
    <row r="90" customFormat="false" ht="23.85" hidden="false" customHeight="false" outlineLevel="0" collapsed="false">
      <c r="A90" s="7" t="s">
        <v>902</v>
      </c>
      <c r="B90" s="7" t="s">
        <v>1011</v>
      </c>
      <c r="C90" s="7" t="s">
        <v>1029</v>
      </c>
      <c r="D90" s="7" t="s">
        <v>613</v>
      </c>
      <c r="E90" s="7" t="s">
        <v>1277</v>
      </c>
      <c r="F90" s="7" t="s">
        <v>3666</v>
      </c>
      <c r="G90" s="7"/>
      <c r="H90" s="7"/>
      <c r="I90" s="7"/>
      <c r="J90" s="7" t="s">
        <v>3703</v>
      </c>
    </row>
    <row r="91" customFormat="false" ht="23.85" hidden="false" customHeight="false" outlineLevel="0" collapsed="false">
      <c r="A91" s="7" t="s">
        <v>915</v>
      </c>
      <c r="B91" s="7" t="s">
        <v>1014</v>
      </c>
      <c r="C91" s="7" t="s">
        <v>1029</v>
      </c>
      <c r="D91" s="7" t="s">
        <v>1279</v>
      </c>
      <c r="E91" s="7" t="s">
        <v>1280</v>
      </c>
      <c r="F91" s="7" t="s">
        <v>3670</v>
      </c>
      <c r="G91" s="7"/>
      <c r="H91" s="7"/>
      <c r="I91" s="7"/>
      <c r="J91" s="7" t="s">
        <v>3704</v>
      </c>
    </row>
    <row r="92" customFormat="false" ht="23.85" hidden="false" customHeight="false" outlineLevel="0" collapsed="false">
      <c r="A92" s="7" t="s">
        <v>911</v>
      </c>
      <c r="B92" s="7" t="s">
        <v>1013</v>
      </c>
      <c r="C92" s="7" t="s">
        <v>1029</v>
      </c>
      <c r="D92" s="7" t="s">
        <v>1279</v>
      </c>
      <c r="E92" s="7" t="s">
        <v>1285</v>
      </c>
      <c r="F92" s="7" t="s">
        <v>3670</v>
      </c>
      <c r="G92" s="7"/>
      <c r="H92" s="7"/>
      <c r="I92" s="7"/>
      <c r="J92" s="7" t="s">
        <v>3704</v>
      </c>
    </row>
    <row r="93" customFormat="false" ht="57.45" hidden="false" customHeight="false" outlineLevel="0" collapsed="false">
      <c r="A93" s="7" t="s">
        <v>907</v>
      </c>
      <c r="B93" s="7" t="s">
        <v>1012</v>
      </c>
      <c r="C93" s="7" t="s">
        <v>1029</v>
      </c>
      <c r="D93" s="7" t="s">
        <v>1279</v>
      </c>
      <c r="E93" s="7" t="s">
        <v>3705</v>
      </c>
      <c r="F93" s="7" t="s">
        <v>3670</v>
      </c>
      <c r="G93" s="7"/>
      <c r="H93" s="7"/>
      <c r="I93" s="7"/>
      <c r="J93" s="7" t="s">
        <v>3704</v>
      </c>
    </row>
    <row r="94" customFormat="false" ht="46.25" hidden="false" customHeight="false" outlineLevel="0" collapsed="false">
      <c r="A94" s="7" t="s">
        <v>1293</v>
      </c>
      <c r="B94" s="7" t="s">
        <v>1294</v>
      </c>
      <c r="C94" s="7" t="s">
        <v>1029</v>
      </c>
      <c r="D94" s="7" t="s">
        <v>1279</v>
      </c>
      <c r="E94" s="7" t="s">
        <v>1295</v>
      </c>
      <c r="F94" s="7" t="s">
        <v>3670</v>
      </c>
      <c r="G94" s="7"/>
      <c r="H94" s="7"/>
      <c r="I94" s="7"/>
      <c r="J94" s="7" t="s">
        <v>3704</v>
      </c>
    </row>
    <row r="95" customFormat="false" ht="35.05" hidden="false" customHeight="false" outlineLevel="0" collapsed="false">
      <c r="A95" s="7" t="s">
        <v>886</v>
      </c>
      <c r="B95" s="7" t="s">
        <v>1007</v>
      </c>
      <c r="C95" s="7" t="s">
        <v>1029</v>
      </c>
      <c r="D95" s="7" t="s">
        <v>1279</v>
      </c>
      <c r="E95" s="7" t="s">
        <v>1298</v>
      </c>
      <c r="F95" s="7" t="s">
        <v>3670</v>
      </c>
      <c r="G95" s="7"/>
      <c r="H95" s="7"/>
      <c r="I95" s="7"/>
      <c r="J95" s="7" t="s">
        <v>3704</v>
      </c>
    </row>
    <row r="96" customFormat="false" ht="57.45" hidden="false" customHeight="false" outlineLevel="0" collapsed="false">
      <c r="A96" s="7" t="s">
        <v>1302</v>
      </c>
      <c r="B96" s="7" t="s">
        <v>1303</v>
      </c>
      <c r="C96" s="7" t="s">
        <v>1029</v>
      </c>
      <c r="D96" s="7" t="s">
        <v>1279</v>
      </c>
      <c r="E96" s="7" t="s">
        <v>3706</v>
      </c>
      <c r="F96" s="7" t="s">
        <v>3670</v>
      </c>
      <c r="G96" s="7"/>
      <c r="H96" s="7"/>
      <c r="I96" s="7"/>
      <c r="J96" s="7" t="s">
        <v>3704</v>
      </c>
    </row>
    <row r="97" customFormat="false" ht="46.25" hidden="false" customHeight="false" outlineLevel="0" collapsed="false">
      <c r="A97" s="7" t="s">
        <v>1308</v>
      </c>
      <c r="B97" s="7" t="s">
        <v>1309</v>
      </c>
      <c r="C97" s="7" t="s">
        <v>1029</v>
      </c>
      <c r="D97" s="7" t="s">
        <v>1279</v>
      </c>
      <c r="E97" s="7" t="s">
        <v>1310</v>
      </c>
      <c r="F97" s="7" t="s">
        <v>3670</v>
      </c>
      <c r="G97" s="7"/>
      <c r="H97" s="7"/>
      <c r="I97" s="7"/>
      <c r="J97" s="7" t="s">
        <v>3704</v>
      </c>
    </row>
    <row r="98" customFormat="false" ht="35.05" hidden="false" customHeight="false" outlineLevel="0" collapsed="false">
      <c r="A98" s="7" t="s">
        <v>942</v>
      </c>
      <c r="B98" s="7" t="s">
        <v>1019</v>
      </c>
      <c r="C98" s="7" t="s">
        <v>1029</v>
      </c>
      <c r="D98" s="7" t="s">
        <v>623</v>
      </c>
      <c r="E98" s="7" t="s">
        <v>1314</v>
      </c>
      <c r="F98" s="7"/>
      <c r="G98" s="7" t="s">
        <v>133</v>
      </c>
      <c r="H98" s="7"/>
      <c r="I98" s="7"/>
      <c r="J98" s="7"/>
    </row>
    <row r="99" customFormat="false" ht="35.05" hidden="false" customHeight="false" outlineLevel="0" collapsed="false">
      <c r="A99" s="7" t="s">
        <v>1317</v>
      </c>
      <c r="B99" s="7" t="s">
        <v>1318</v>
      </c>
      <c r="C99" s="7" t="s">
        <v>1029</v>
      </c>
      <c r="D99" s="7" t="s">
        <v>623</v>
      </c>
      <c r="E99" s="7" t="s">
        <v>1319</v>
      </c>
      <c r="F99" s="7"/>
      <c r="G99" s="7" t="s">
        <v>133</v>
      </c>
      <c r="H99" s="7"/>
      <c r="I99" s="7"/>
      <c r="J99" s="7"/>
    </row>
    <row r="100" customFormat="false" ht="35.05" hidden="false" customHeight="false" outlineLevel="0" collapsed="false">
      <c r="A100" s="7" t="s">
        <v>1321</v>
      </c>
      <c r="B100" s="7" t="s">
        <v>1322</v>
      </c>
      <c r="C100" s="7" t="s">
        <v>1029</v>
      </c>
      <c r="D100" s="7" t="s">
        <v>623</v>
      </c>
      <c r="E100" s="7" t="s">
        <v>1323</v>
      </c>
      <c r="F100" s="7"/>
      <c r="G100" s="7" t="s">
        <v>133</v>
      </c>
      <c r="H100" s="7"/>
      <c r="I100" s="7"/>
      <c r="J100" s="7"/>
    </row>
    <row r="101" customFormat="false" ht="35.05" hidden="false" customHeight="false" outlineLevel="0" collapsed="false">
      <c r="A101" s="7" t="s">
        <v>950</v>
      </c>
      <c r="B101" s="7" t="s">
        <v>1021</v>
      </c>
      <c r="C101" s="7" t="s">
        <v>1029</v>
      </c>
      <c r="D101" s="7" t="s">
        <v>623</v>
      </c>
      <c r="E101" s="7" t="s">
        <v>1325</v>
      </c>
      <c r="F101" s="7"/>
      <c r="G101" s="7" t="s">
        <v>133</v>
      </c>
      <c r="H101" s="7"/>
      <c r="I101" s="7"/>
      <c r="J101" s="7"/>
    </row>
    <row r="102" customFormat="false" ht="35.05" hidden="false" customHeight="false" outlineLevel="0" collapsed="false">
      <c r="A102" s="7" t="s">
        <v>954</v>
      </c>
      <c r="B102" s="7" t="s">
        <v>1022</v>
      </c>
      <c r="C102" s="7" t="s">
        <v>1029</v>
      </c>
      <c r="D102" s="7" t="s">
        <v>623</v>
      </c>
      <c r="E102" s="7" t="s">
        <v>1327</v>
      </c>
      <c r="F102" s="7"/>
      <c r="G102" s="7" t="s">
        <v>133</v>
      </c>
      <c r="H102" s="7"/>
      <c r="I102" s="7"/>
      <c r="J102" s="7"/>
    </row>
    <row r="103" customFormat="false" ht="35.05" hidden="false" customHeight="false" outlineLevel="0" collapsed="false">
      <c r="A103" s="7" t="s">
        <v>958</v>
      </c>
      <c r="B103" s="7" t="s">
        <v>1023</v>
      </c>
      <c r="C103" s="7" t="s">
        <v>1029</v>
      </c>
      <c r="D103" s="7" t="s">
        <v>623</v>
      </c>
      <c r="E103" s="7" t="s">
        <v>1329</v>
      </c>
      <c r="F103" s="7" t="s">
        <v>3668</v>
      </c>
      <c r="G103" s="7" t="s">
        <v>133</v>
      </c>
      <c r="H103" s="7"/>
      <c r="I103" s="7"/>
      <c r="J103" s="7" t="s">
        <v>3693</v>
      </c>
    </row>
    <row r="104" customFormat="false" ht="57.45" hidden="false" customHeight="false" outlineLevel="0" collapsed="false">
      <c r="A104" s="7" t="s">
        <v>1332</v>
      </c>
      <c r="B104" s="7" t="s">
        <v>1333</v>
      </c>
      <c r="C104" s="7" t="s">
        <v>1029</v>
      </c>
      <c r="D104" s="7" t="s">
        <v>623</v>
      </c>
      <c r="E104" s="7" t="s">
        <v>1334</v>
      </c>
      <c r="F104" s="7"/>
      <c r="G104" s="7" t="s">
        <v>133</v>
      </c>
      <c r="H104" s="7"/>
      <c r="I104" s="7"/>
      <c r="J104" s="7"/>
    </row>
    <row r="105" customFormat="false" ht="46.25" hidden="false" customHeight="false" outlineLevel="0" collapsed="false">
      <c r="A105" s="7" t="s">
        <v>965</v>
      </c>
      <c r="B105" s="7" t="s">
        <v>1024</v>
      </c>
      <c r="C105" s="7" t="s">
        <v>1029</v>
      </c>
      <c r="D105" s="7" t="s">
        <v>623</v>
      </c>
      <c r="E105" s="7" t="s">
        <v>1336</v>
      </c>
      <c r="F105" s="7"/>
      <c r="G105" s="7" t="s">
        <v>133</v>
      </c>
      <c r="H105" s="7"/>
      <c r="I105" s="7"/>
      <c r="J105" s="7"/>
    </row>
    <row r="106" customFormat="false" ht="23.85" hidden="false" customHeight="false" outlineLevel="0" collapsed="false">
      <c r="A106" s="7" t="s">
        <v>931</v>
      </c>
      <c r="B106" s="7" t="s">
        <v>1017</v>
      </c>
      <c r="C106" s="7" t="s">
        <v>1029</v>
      </c>
      <c r="D106" s="7" t="s">
        <v>623</v>
      </c>
      <c r="E106" s="7" t="s">
        <v>1338</v>
      </c>
      <c r="F106" s="7"/>
      <c r="G106" s="7" t="s">
        <v>133</v>
      </c>
      <c r="H106" s="7"/>
      <c r="I106" s="7"/>
      <c r="J106" s="7"/>
    </row>
    <row r="107" customFormat="false" ht="35.05" hidden="false" customHeight="false" outlineLevel="0" collapsed="false">
      <c r="A107" s="7" t="s">
        <v>1341</v>
      </c>
      <c r="B107" s="7" t="s">
        <v>1342</v>
      </c>
      <c r="C107" s="7" t="s">
        <v>1029</v>
      </c>
      <c r="D107" s="7" t="s">
        <v>623</v>
      </c>
      <c r="E107" s="7" t="s">
        <v>1343</v>
      </c>
      <c r="F107" s="7"/>
      <c r="G107" s="7" t="s">
        <v>133</v>
      </c>
      <c r="H107" s="7"/>
      <c r="I107" s="7"/>
      <c r="J107" s="7"/>
    </row>
    <row r="108" customFormat="false" ht="35.05" hidden="false" customHeight="false" outlineLevel="0" collapsed="false">
      <c r="A108" s="7" t="s">
        <v>1348</v>
      </c>
      <c r="B108" s="7" t="s">
        <v>669</v>
      </c>
      <c r="C108" s="7" t="s">
        <v>1349</v>
      </c>
      <c r="D108" s="7" t="s">
        <v>552</v>
      </c>
      <c r="E108" s="7" t="s">
        <v>1350</v>
      </c>
      <c r="F108" s="7" t="s">
        <v>3655</v>
      </c>
      <c r="G108" s="7"/>
      <c r="H108" s="7"/>
      <c r="I108" s="7"/>
      <c r="J108" s="7" t="s">
        <v>3677</v>
      </c>
    </row>
    <row r="109" customFormat="false" ht="35.05" hidden="false" customHeight="false" outlineLevel="0" collapsed="false">
      <c r="A109" s="7" t="s">
        <v>1353</v>
      </c>
      <c r="B109" s="7" t="s">
        <v>1354</v>
      </c>
      <c r="C109" s="7" t="s">
        <v>1349</v>
      </c>
      <c r="D109" s="7" t="s">
        <v>552</v>
      </c>
      <c r="E109" s="7" t="s">
        <v>1355</v>
      </c>
      <c r="F109" s="7" t="s">
        <v>3655</v>
      </c>
      <c r="G109" s="7"/>
      <c r="H109" s="7"/>
      <c r="I109" s="7"/>
      <c r="J109" s="7" t="s">
        <v>3677</v>
      </c>
    </row>
    <row r="110" customFormat="false" ht="46.25" hidden="false" customHeight="false" outlineLevel="0" collapsed="false">
      <c r="A110" s="7" t="s">
        <v>1359</v>
      </c>
      <c r="B110" s="7" t="s">
        <v>1360</v>
      </c>
      <c r="C110" s="7" t="s">
        <v>1349</v>
      </c>
      <c r="D110" s="7" t="s">
        <v>552</v>
      </c>
      <c r="E110" s="7" t="s">
        <v>1361</v>
      </c>
      <c r="F110" s="7" t="s">
        <v>3655</v>
      </c>
      <c r="G110" s="7"/>
      <c r="H110" s="7"/>
      <c r="I110" s="7"/>
      <c r="J110" s="7" t="s">
        <v>3677</v>
      </c>
    </row>
    <row r="111" customFormat="false" ht="35.05" hidden="false" customHeight="false" outlineLevel="0" collapsed="false">
      <c r="A111" s="7" t="s">
        <v>1365</v>
      </c>
      <c r="B111" s="7" t="s">
        <v>1366</v>
      </c>
      <c r="C111" s="7" t="s">
        <v>1349</v>
      </c>
      <c r="D111" s="7" t="s">
        <v>552</v>
      </c>
      <c r="E111" s="7" t="s">
        <v>1367</v>
      </c>
      <c r="F111" s="7" t="s">
        <v>3655</v>
      </c>
      <c r="G111" s="7"/>
      <c r="H111" s="7"/>
      <c r="I111" s="7"/>
      <c r="J111" s="7" t="s">
        <v>3677</v>
      </c>
    </row>
    <row r="112" customFormat="false" ht="46.25" hidden="false" customHeight="false" outlineLevel="0" collapsed="false">
      <c r="A112" s="7" t="s">
        <v>1371</v>
      </c>
      <c r="B112" s="7" t="s">
        <v>1372</v>
      </c>
      <c r="C112" s="7" t="s">
        <v>1349</v>
      </c>
      <c r="D112" s="7" t="s">
        <v>552</v>
      </c>
      <c r="E112" s="7" t="s">
        <v>1373</v>
      </c>
      <c r="F112" s="7" t="s">
        <v>3655</v>
      </c>
      <c r="G112" s="7"/>
      <c r="H112" s="7"/>
      <c r="I112" s="7"/>
      <c r="J112" s="7" t="s">
        <v>3677</v>
      </c>
    </row>
    <row r="113" customFormat="false" ht="46.25" hidden="false" customHeight="false" outlineLevel="0" collapsed="false">
      <c r="A113" s="7" t="s">
        <v>1376</v>
      </c>
      <c r="B113" s="7" t="s">
        <v>1377</v>
      </c>
      <c r="C113" s="7" t="s">
        <v>1349</v>
      </c>
      <c r="D113" s="7" t="s">
        <v>552</v>
      </c>
      <c r="E113" s="7" t="s">
        <v>1378</v>
      </c>
      <c r="F113" s="7" t="s">
        <v>3655</v>
      </c>
      <c r="G113" s="7"/>
      <c r="H113" s="7"/>
      <c r="I113" s="7"/>
      <c r="J113" s="7" t="s">
        <v>3677</v>
      </c>
    </row>
    <row r="114" customFormat="false" ht="23.85" hidden="false" customHeight="false" outlineLevel="0" collapsed="false">
      <c r="A114" s="7" t="s">
        <v>1381</v>
      </c>
      <c r="B114" s="7" t="s">
        <v>1382</v>
      </c>
      <c r="C114" s="7" t="s">
        <v>1349</v>
      </c>
      <c r="D114" s="7" t="s">
        <v>552</v>
      </c>
      <c r="E114" s="7" t="s">
        <v>1383</v>
      </c>
      <c r="F114" s="7" t="s">
        <v>3655</v>
      </c>
      <c r="G114" s="7"/>
      <c r="H114" s="7"/>
      <c r="I114" s="7"/>
      <c r="J114" s="7" t="s">
        <v>3677</v>
      </c>
    </row>
    <row r="115" customFormat="false" ht="35.05" hidden="false" customHeight="false" outlineLevel="0" collapsed="false">
      <c r="A115" s="7" t="s">
        <v>1387</v>
      </c>
      <c r="B115" s="7" t="s">
        <v>1388</v>
      </c>
      <c r="C115" s="7" t="s">
        <v>1349</v>
      </c>
      <c r="D115" s="7" t="s">
        <v>552</v>
      </c>
      <c r="E115" s="7" t="s">
        <v>1389</v>
      </c>
      <c r="F115" s="7" t="s">
        <v>3655</v>
      </c>
      <c r="G115" s="7"/>
      <c r="H115" s="7"/>
      <c r="I115" s="7"/>
      <c r="J115" s="7" t="s">
        <v>3677</v>
      </c>
    </row>
    <row r="116" customFormat="false" ht="23.85" hidden="false" customHeight="false" outlineLevel="0" collapsed="false">
      <c r="A116" s="7" t="s">
        <v>1392</v>
      </c>
      <c r="B116" s="7" t="s">
        <v>1393</v>
      </c>
      <c r="C116" s="7" t="s">
        <v>1349</v>
      </c>
      <c r="D116" s="7" t="s">
        <v>552</v>
      </c>
      <c r="E116" s="7" t="s">
        <v>1394</v>
      </c>
      <c r="F116" s="7" t="s">
        <v>3655</v>
      </c>
      <c r="G116" s="7"/>
      <c r="H116" s="7"/>
      <c r="I116" s="7"/>
      <c r="J116" s="7" t="s">
        <v>3677</v>
      </c>
    </row>
    <row r="117" customFormat="false" ht="35.05" hidden="false" customHeight="false" outlineLevel="0" collapsed="false">
      <c r="A117" s="7" t="s">
        <v>1397</v>
      </c>
      <c r="B117" s="7" t="s">
        <v>1398</v>
      </c>
      <c r="C117" s="7" t="s">
        <v>1349</v>
      </c>
      <c r="D117" s="7" t="s">
        <v>552</v>
      </c>
      <c r="E117" s="7" t="s">
        <v>1399</v>
      </c>
      <c r="F117" s="7" t="s">
        <v>3655</v>
      </c>
      <c r="G117" s="7"/>
      <c r="H117" s="7"/>
      <c r="I117" s="7"/>
      <c r="J117" s="7" t="s">
        <v>3677</v>
      </c>
    </row>
    <row r="118" customFormat="false" ht="35.05" hidden="false" customHeight="false" outlineLevel="0" collapsed="false">
      <c r="A118" s="7" t="s">
        <v>1402</v>
      </c>
      <c r="B118" s="7" t="s">
        <v>1403</v>
      </c>
      <c r="C118" s="7" t="s">
        <v>1349</v>
      </c>
      <c r="D118" s="7" t="s">
        <v>552</v>
      </c>
      <c r="E118" s="7" t="s">
        <v>1404</v>
      </c>
      <c r="F118" s="7" t="s">
        <v>3655</v>
      </c>
      <c r="G118" s="7"/>
      <c r="H118" s="7"/>
      <c r="I118" s="7"/>
      <c r="J118" s="7" t="s">
        <v>3677</v>
      </c>
    </row>
    <row r="119" customFormat="false" ht="35.05" hidden="false" customHeight="false" outlineLevel="0" collapsed="false">
      <c r="A119" s="7" t="s">
        <v>1407</v>
      </c>
      <c r="B119" s="7" t="s">
        <v>1408</v>
      </c>
      <c r="C119" s="7" t="s">
        <v>1349</v>
      </c>
      <c r="D119" s="7" t="s">
        <v>552</v>
      </c>
      <c r="E119" s="7" t="s">
        <v>1409</v>
      </c>
      <c r="F119" s="7" t="s">
        <v>3655</v>
      </c>
      <c r="G119" s="7"/>
      <c r="H119" s="7"/>
      <c r="I119" s="7"/>
      <c r="J119" s="7" t="s">
        <v>3677</v>
      </c>
    </row>
    <row r="120" customFormat="false" ht="35.05" hidden="false" customHeight="false" outlineLevel="0" collapsed="false">
      <c r="A120" s="7" t="s">
        <v>1412</v>
      </c>
      <c r="B120" s="7" t="s">
        <v>1413</v>
      </c>
      <c r="C120" s="7" t="s">
        <v>1349</v>
      </c>
      <c r="D120" s="7" t="s">
        <v>552</v>
      </c>
      <c r="E120" s="7" t="s">
        <v>1414</v>
      </c>
      <c r="F120" s="7" t="s">
        <v>3655</v>
      </c>
      <c r="G120" s="7"/>
      <c r="H120" s="7"/>
      <c r="I120" s="7"/>
      <c r="J120" s="7" t="s">
        <v>3677</v>
      </c>
    </row>
    <row r="121" customFormat="false" ht="35.05" hidden="false" customHeight="false" outlineLevel="0" collapsed="false">
      <c r="A121" s="7" t="s">
        <v>1418</v>
      </c>
      <c r="B121" s="7" t="s">
        <v>1419</v>
      </c>
      <c r="C121" s="7" t="s">
        <v>1349</v>
      </c>
      <c r="D121" s="7" t="s">
        <v>552</v>
      </c>
      <c r="E121" s="7" t="s">
        <v>1420</v>
      </c>
      <c r="F121" s="7" t="s">
        <v>3655</v>
      </c>
      <c r="G121" s="7"/>
      <c r="H121" s="7"/>
      <c r="I121" s="7"/>
      <c r="J121" s="7" t="s">
        <v>3677</v>
      </c>
    </row>
    <row r="122" customFormat="false" ht="23.85" hidden="false" customHeight="false" outlineLevel="0" collapsed="false">
      <c r="A122" s="7" t="s">
        <v>1423</v>
      </c>
      <c r="B122" s="7" t="s">
        <v>1424</v>
      </c>
      <c r="C122" s="7" t="s">
        <v>1349</v>
      </c>
      <c r="D122" s="7" t="s">
        <v>564</v>
      </c>
      <c r="E122" s="7" t="s">
        <v>1425</v>
      </c>
      <c r="F122" s="7" t="s">
        <v>3664</v>
      </c>
      <c r="G122" s="7"/>
      <c r="H122" s="7"/>
      <c r="I122" s="7"/>
      <c r="J122" s="7" t="s">
        <v>3679</v>
      </c>
    </row>
    <row r="123" customFormat="false" ht="57.45" hidden="false" customHeight="false" outlineLevel="0" collapsed="false">
      <c r="A123" s="7" t="s">
        <v>1428</v>
      </c>
      <c r="B123" s="7" t="s">
        <v>1429</v>
      </c>
      <c r="C123" s="7" t="s">
        <v>1349</v>
      </c>
      <c r="D123" s="7" t="s">
        <v>564</v>
      </c>
      <c r="E123" s="7" t="s">
        <v>1430</v>
      </c>
      <c r="F123" s="7" t="s">
        <v>3664</v>
      </c>
      <c r="G123" s="7"/>
      <c r="H123" s="7"/>
      <c r="I123" s="7"/>
      <c r="J123" s="7" t="s">
        <v>3679</v>
      </c>
    </row>
    <row r="124" customFormat="false" ht="57.45" hidden="false" customHeight="false" outlineLevel="0" collapsed="false">
      <c r="A124" s="7" t="s">
        <v>1433</v>
      </c>
      <c r="B124" s="7" t="s">
        <v>1434</v>
      </c>
      <c r="C124" s="7" t="s">
        <v>1349</v>
      </c>
      <c r="D124" s="7" t="s">
        <v>564</v>
      </c>
      <c r="E124" s="7" t="s">
        <v>3707</v>
      </c>
      <c r="F124" s="7" t="s">
        <v>3664</v>
      </c>
      <c r="G124" s="7"/>
      <c r="H124" s="7"/>
      <c r="I124" s="7"/>
      <c r="J124" s="7" t="s">
        <v>3679</v>
      </c>
    </row>
    <row r="125" customFormat="false" ht="35.05" hidden="false" customHeight="false" outlineLevel="0" collapsed="false">
      <c r="A125" s="7" t="s">
        <v>1438</v>
      </c>
      <c r="B125" s="7" t="s">
        <v>1439</v>
      </c>
      <c r="C125" s="7" t="s">
        <v>1349</v>
      </c>
      <c r="D125" s="7" t="s">
        <v>564</v>
      </c>
      <c r="E125" s="7" t="s">
        <v>1440</v>
      </c>
      <c r="F125" s="7" t="s">
        <v>3664</v>
      </c>
      <c r="G125" s="7"/>
      <c r="H125" s="7"/>
      <c r="I125" s="7"/>
      <c r="J125" s="7" t="s">
        <v>3679</v>
      </c>
    </row>
    <row r="126" customFormat="false" ht="46.25" hidden="false" customHeight="false" outlineLevel="0" collapsed="false">
      <c r="A126" s="7" t="s">
        <v>1444</v>
      </c>
      <c r="B126" s="7" t="s">
        <v>1445</v>
      </c>
      <c r="C126" s="7" t="s">
        <v>1349</v>
      </c>
      <c r="D126" s="7" t="s">
        <v>564</v>
      </c>
      <c r="E126" s="7" t="s">
        <v>1446</v>
      </c>
      <c r="F126" s="7" t="s">
        <v>3664</v>
      </c>
      <c r="G126" s="7"/>
      <c r="H126" s="7"/>
      <c r="I126" s="7"/>
      <c r="J126" s="7" t="s">
        <v>3679</v>
      </c>
    </row>
    <row r="127" customFormat="false" ht="35.05" hidden="false" customHeight="false" outlineLevel="0" collapsed="false">
      <c r="A127" s="7" t="s">
        <v>1449</v>
      </c>
      <c r="B127" s="7" t="s">
        <v>1450</v>
      </c>
      <c r="C127" s="7" t="s">
        <v>1349</v>
      </c>
      <c r="D127" s="7" t="s">
        <v>564</v>
      </c>
      <c r="E127" s="7" t="s">
        <v>1451</v>
      </c>
      <c r="F127" s="7" t="s">
        <v>3664</v>
      </c>
      <c r="G127" s="7"/>
      <c r="H127" s="7"/>
      <c r="I127" s="7"/>
      <c r="J127" s="7" t="s">
        <v>3679</v>
      </c>
    </row>
    <row r="128" customFormat="false" ht="46.25" hidden="false" customHeight="false" outlineLevel="0" collapsed="false">
      <c r="A128" s="7" t="s">
        <v>1455</v>
      </c>
      <c r="B128" s="7" t="s">
        <v>1456</v>
      </c>
      <c r="C128" s="7" t="s">
        <v>1349</v>
      </c>
      <c r="D128" s="7" t="s">
        <v>564</v>
      </c>
      <c r="E128" s="7" t="s">
        <v>1457</v>
      </c>
      <c r="F128" s="7" t="s">
        <v>3664</v>
      </c>
      <c r="G128" s="7"/>
      <c r="H128" s="7"/>
      <c r="I128" s="7"/>
      <c r="J128" s="7" t="s">
        <v>3679</v>
      </c>
    </row>
    <row r="129" customFormat="false" ht="35.05" hidden="false" customHeight="false" outlineLevel="0" collapsed="false">
      <c r="A129" s="7" t="s">
        <v>1461</v>
      </c>
      <c r="B129" s="7" t="s">
        <v>579</v>
      </c>
      <c r="C129" s="7" t="s">
        <v>1349</v>
      </c>
      <c r="D129" s="7" t="s">
        <v>564</v>
      </c>
      <c r="E129" s="7" t="s">
        <v>1462</v>
      </c>
      <c r="F129" s="7" t="s">
        <v>3664</v>
      </c>
      <c r="G129" s="7"/>
      <c r="H129" s="7"/>
      <c r="I129" s="7"/>
      <c r="J129" s="7" t="s">
        <v>3679</v>
      </c>
    </row>
    <row r="130" customFormat="false" ht="46.25" hidden="false" customHeight="false" outlineLevel="0" collapsed="false">
      <c r="A130" s="7" t="s">
        <v>1465</v>
      </c>
      <c r="B130" s="7" t="s">
        <v>1466</v>
      </c>
      <c r="C130" s="7" t="s">
        <v>1349</v>
      </c>
      <c r="D130" s="7" t="s">
        <v>564</v>
      </c>
      <c r="E130" s="7" t="s">
        <v>1467</v>
      </c>
      <c r="F130" s="7" t="s">
        <v>3664</v>
      </c>
      <c r="G130" s="7"/>
      <c r="H130" s="7"/>
      <c r="I130" s="7"/>
      <c r="J130" s="7" t="s">
        <v>3679</v>
      </c>
    </row>
    <row r="131" customFormat="false" ht="35.05" hidden="false" customHeight="false" outlineLevel="0" collapsed="false">
      <c r="A131" s="7" t="s">
        <v>1471</v>
      </c>
      <c r="B131" s="7" t="s">
        <v>703</v>
      </c>
      <c r="C131" s="7" t="s">
        <v>1349</v>
      </c>
      <c r="D131" s="7" t="s">
        <v>564</v>
      </c>
      <c r="E131" s="7" t="s">
        <v>1472</v>
      </c>
      <c r="F131" s="7" t="s">
        <v>3664</v>
      </c>
      <c r="G131" s="7"/>
      <c r="H131" s="7"/>
      <c r="I131" s="7"/>
      <c r="J131" s="7" t="s">
        <v>3679</v>
      </c>
    </row>
    <row r="132" customFormat="false" ht="35.05" hidden="false" customHeight="false" outlineLevel="0" collapsed="false">
      <c r="A132" s="7" t="s">
        <v>1475</v>
      </c>
      <c r="B132" s="7" t="s">
        <v>707</v>
      </c>
      <c r="C132" s="7" t="s">
        <v>1349</v>
      </c>
      <c r="D132" s="7" t="s">
        <v>564</v>
      </c>
      <c r="E132" s="7" t="s">
        <v>1476</v>
      </c>
      <c r="F132" s="7" t="s">
        <v>3664</v>
      </c>
      <c r="G132" s="7"/>
      <c r="H132" s="7"/>
      <c r="I132" s="7"/>
      <c r="J132" s="7" t="s">
        <v>3679</v>
      </c>
    </row>
    <row r="133" customFormat="false" ht="23.85" hidden="false" customHeight="false" outlineLevel="0" collapsed="false">
      <c r="A133" s="7" t="s">
        <v>1479</v>
      </c>
      <c r="B133" s="7" t="s">
        <v>1480</v>
      </c>
      <c r="C133" s="7" t="s">
        <v>1349</v>
      </c>
      <c r="D133" s="7" t="s">
        <v>575</v>
      </c>
      <c r="E133" s="7" t="s">
        <v>1481</v>
      </c>
      <c r="F133" s="7" t="s">
        <v>3659</v>
      </c>
      <c r="G133" s="7"/>
      <c r="H133" s="7"/>
      <c r="I133" s="7"/>
      <c r="J133" s="7" t="s">
        <v>3680</v>
      </c>
    </row>
    <row r="134" customFormat="false" ht="23.85" hidden="false" customHeight="false" outlineLevel="0" collapsed="false">
      <c r="A134" s="7" t="s">
        <v>1485</v>
      </c>
      <c r="B134" s="7" t="s">
        <v>1486</v>
      </c>
      <c r="C134" s="7" t="s">
        <v>1349</v>
      </c>
      <c r="D134" s="7" t="s">
        <v>575</v>
      </c>
      <c r="E134" s="7" t="s">
        <v>1487</v>
      </c>
      <c r="F134" s="7" t="s">
        <v>3659</v>
      </c>
      <c r="G134" s="7"/>
      <c r="H134" s="7"/>
      <c r="I134" s="7"/>
      <c r="J134" s="7" t="s">
        <v>3680</v>
      </c>
    </row>
    <row r="135" customFormat="false" ht="23.85" hidden="false" customHeight="false" outlineLevel="0" collapsed="false">
      <c r="A135" s="7" t="s">
        <v>1490</v>
      </c>
      <c r="B135" s="7" t="s">
        <v>1491</v>
      </c>
      <c r="C135" s="7" t="s">
        <v>1349</v>
      </c>
      <c r="D135" s="7" t="s">
        <v>575</v>
      </c>
      <c r="E135" s="7" t="s">
        <v>1492</v>
      </c>
      <c r="F135" s="7" t="s">
        <v>3659</v>
      </c>
      <c r="G135" s="7"/>
      <c r="H135" s="7"/>
      <c r="I135" s="7"/>
      <c r="J135" s="7" t="s">
        <v>3680</v>
      </c>
    </row>
    <row r="136" customFormat="false" ht="35.05" hidden="false" customHeight="false" outlineLevel="0" collapsed="false">
      <c r="A136" s="7" t="s">
        <v>1495</v>
      </c>
      <c r="B136" s="7" t="s">
        <v>1496</v>
      </c>
      <c r="C136" s="7" t="s">
        <v>1349</v>
      </c>
      <c r="D136" s="7" t="s">
        <v>575</v>
      </c>
      <c r="E136" s="7" t="s">
        <v>1497</v>
      </c>
      <c r="F136" s="7" t="s">
        <v>3659</v>
      </c>
      <c r="G136" s="7"/>
      <c r="H136" s="7"/>
      <c r="I136" s="7"/>
      <c r="J136" s="7" t="s">
        <v>3680</v>
      </c>
    </row>
    <row r="137" customFormat="false" ht="23.85" hidden="false" customHeight="false" outlineLevel="0" collapsed="false">
      <c r="A137" s="7" t="s">
        <v>1501</v>
      </c>
      <c r="B137" s="7" t="s">
        <v>1502</v>
      </c>
      <c r="C137" s="7" t="s">
        <v>1349</v>
      </c>
      <c r="D137" s="7" t="s">
        <v>575</v>
      </c>
      <c r="E137" s="7" t="s">
        <v>1503</v>
      </c>
      <c r="F137" s="7" t="s">
        <v>3659</v>
      </c>
      <c r="G137" s="7"/>
      <c r="H137" s="7"/>
      <c r="I137" s="7"/>
      <c r="J137" s="7" t="s">
        <v>3680</v>
      </c>
    </row>
    <row r="138" customFormat="false" ht="35.05" hidden="false" customHeight="false" outlineLevel="0" collapsed="false">
      <c r="A138" s="7" t="s">
        <v>1506</v>
      </c>
      <c r="B138" s="7" t="s">
        <v>1507</v>
      </c>
      <c r="C138" s="7" t="s">
        <v>1349</v>
      </c>
      <c r="D138" s="7" t="s">
        <v>575</v>
      </c>
      <c r="E138" s="7" t="s">
        <v>1508</v>
      </c>
      <c r="F138" s="7" t="s">
        <v>3659</v>
      </c>
      <c r="G138" s="7"/>
      <c r="H138" s="7"/>
      <c r="I138" s="7"/>
      <c r="J138" s="7" t="s">
        <v>3680</v>
      </c>
    </row>
    <row r="139" customFormat="false" ht="23.85" hidden="false" customHeight="false" outlineLevel="0" collapsed="false">
      <c r="A139" s="7" t="s">
        <v>1511</v>
      </c>
      <c r="B139" s="7" t="s">
        <v>1512</v>
      </c>
      <c r="C139" s="7" t="s">
        <v>1349</v>
      </c>
      <c r="D139" s="7" t="s">
        <v>575</v>
      </c>
      <c r="E139" s="7" t="s">
        <v>1513</v>
      </c>
      <c r="F139" s="7"/>
      <c r="G139" s="7" t="s">
        <v>133</v>
      </c>
      <c r="H139" s="7"/>
      <c r="I139" s="7"/>
      <c r="J139" s="7"/>
    </row>
    <row r="140" customFormat="false" ht="46.25" hidden="false" customHeight="false" outlineLevel="0" collapsed="false">
      <c r="A140" s="7" t="s">
        <v>1516</v>
      </c>
      <c r="B140" s="7" t="s">
        <v>1517</v>
      </c>
      <c r="C140" s="7" t="s">
        <v>1349</v>
      </c>
      <c r="D140" s="7" t="s">
        <v>584</v>
      </c>
      <c r="E140" s="7" t="s">
        <v>1518</v>
      </c>
      <c r="F140" s="7" t="s">
        <v>3656</v>
      </c>
      <c r="G140" s="7"/>
      <c r="H140" s="7"/>
      <c r="I140" s="7"/>
      <c r="J140" s="7" t="s">
        <v>3681</v>
      </c>
    </row>
    <row r="141" customFormat="false" ht="35.05" hidden="false" customHeight="false" outlineLevel="0" collapsed="false">
      <c r="A141" s="7" t="s">
        <v>1521</v>
      </c>
      <c r="B141" s="7" t="s">
        <v>1522</v>
      </c>
      <c r="C141" s="7" t="s">
        <v>1349</v>
      </c>
      <c r="D141" s="7" t="s">
        <v>584</v>
      </c>
      <c r="E141" s="7" t="s">
        <v>1523</v>
      </c>
      <c r="F141" s="7" t="s">
        <v>3656</v>
      </c>
      <c r="G141" s="7"/>
      <c r="H141" s="7"/>
      <c r="I141" s="7"/>
      <c r="J141" s="7" t="s">
        <v>3681</v>
      </c>
    </row>
    <row r="142" customFormat="false" ht="35.05" hidden="false" customHeight="false" outlineLevel="0" collapsed="false">
      <c r="A142" s="7" t="s">
        <v>1526</v>
      </c>
      <c r="B142" s="7" t="s">
        <v>1527</v>
      </c>
      <c r="C142" s="7" t="s">
        <v>1349</v>
      </c>
      <c r="D142" s="7" t="s">
        <v>584</v>
      </c>
      <c r="E142" s="7" t="s">
        <v>1528</v>
      </c>
      <c r="F142" s="7" t="s">
        <v>3708</v>
      </c>
      <c r="G142" s="7"/>
      <c r="H142" s="7"/>
      <c r="I142" s="7"/>
      <c r="J142" s="7" t="s">
        <v>3709</v>
      </c>
    </row>
    <row r="143" customFormat="false" ht="35.05" hidden="false" customHeight="false" outlineLevel="0" collapsed="false">
      <c r="A143" s="7" t="s">
        <v>1532</v>
      </c>
      <c r="B143" s="7" t="s">
        <v>1533</v>
      </c>
      <c r="C143" s="7" t="s">
        <v>1349</v>
      </c>
      <c r="D143" s="7" t="s">
        <v>584</v>
      </c>
      <c r="E143" s="7" t="s">
        <v>1534</v>
      </c>
      <c r="F143" s="7" t="s">
        <v>3708</v>
      </c>
      <c r="G143" s="7"/>
      <c r="H143" s="7"/>
      <c r="I143" s="7"/>
      <c r="J143" s="7" t="s">
        <v>3709</v>
      </c>
    </row>
    <row r="144" customFormat="false" ht="46.25" hidden="false" customHeight="false" outlineLevel="0" collapsed="false">
      <c r="A144" s="7" t="s">
        <v>1538</v>
      </c>
      <c r="B144" s="7" t="s">
        <v>1539</v>
      </c>
      <c r="C144" s="7" t="s">
        <v>1349</v>
      </c>
      <c r="D144" s="7" t="s">
        <v>584</v>
      </c>
      <c r="E144" s="7" t="s">
        <v>1540</v>
      </c>
      <c r="F144" s="7" t="s">
        <v>3656</v>
      </c>
      <c r="G144" s="7" t="s">
        <v>133</v>
      </c>
      <c r="H144" s="7"/>
      <c r="I144" s="7"/>
      <c r="J144" s="7" t="s">
        <v>3681</v>
      </c>
    </row>
    <row r="145" customFormat="false" ht="35.05" hidden="false" customHeight="false" outlineLevel="0" collapsed="false">
      <c r="A145" s="7" t="s">
        <v>1543</v>
      </c>
      <c r="B145" s="7" t="s">
        <v>1544</v>
      </c>
      <c r="C145" s="7" t="s">
        <v>1349</v>
      </c>
      <c r="D145" s="7" t="s">
        <v>584</v>
      </c>
      <c r="E145" s="7" t="s">
        <v>1545</v>
      </c>
      <c r="F145" s="7" t="s">
        <v>3656</v>
      </c>
      <c r="G145" s="7"/>
      <c r="H145" s="7"/>
      <c r="I145" s="7"/>
      <c r="J145" s="7" t="s">
        <v>3681</v>
      </c>
    </row>
    <row r="146" customFormat="false" ht="35.05" hidden="false" customHeight="false" outlineLevel="0" collapsed="false">
      <c r="A146" s="7" t="s">
        <v>1547</v>
      </c>
      <c r="B146" s="7" t="s">
        <v>1548</v>
      </c>
      <c r="C146" s="7" t="s">
        <v>1349</v>
      </c>
      <c r="D146" s="7" t="s">
        <v>584</v>
      </c>
      <c r="E146" s="7" t="s">
        <v>1549</v>
      </c>
      <c r="F146" s="7" t="s">
        <v>3656</v>
      </c>
      <c r="G146" s="7"/>
      <c r="H146" s="7"/>
      <c r="I146" s="7"/>
      <c r="J146" s="7" t="s">
        <v>3681</v>
      </c>
    </row>
    <row r="147" customFormat="false" ht="35.05" hidden="false" customHeight="false" outlineLevel="0" collapsed="false">
      <c r="A147" s="7" t="s">
        <v>1552</v>
      </c>
      <c r="B147" s="7" t="s">
        <v>1553</v>
      </c>
      <c r="C147" s="7" t="s">
        <v>1349</v>
      </c>
      <c r="D147" s="7" t="s">
        <v>584</v>
      </c>
      <c r="E147" s="7" t="s">
        <v>1554</v>
      </c>
      <c r="F147" s="7" t="s">
        <v>3656</v>
      </c>
      <c r="G147" s="7"/>
      <c r="H147" s="7"/>
      <c r="I147" s="7"/>
      <c r="J147" s="7" t="s">
        <v>3681</v>
      </c>
    </row>
    <row r="148" customFormat="false" ht="23.85" hidden="false" customHeight="false" outlineLevel="0" collapsed="false">
      <c r="A148" s="7" t="s">
        <v>1558</v>
      </c>
      <c r="B148" s="7" t="s">
        <v>1559</v>
      </c>
      <c r="C148" s="7" t="s">
        <v>1349</v>
      </c>
      <c r="D148" s="7" t="s">
        <v>584</v>
      </c>
      <c r="E148" s="7" t="s">
        <v>1560</v>
      </c>
      <c r="F148" s="7" t="s">
        <v>3656</v>
      </c>
      <c r="G148" s="7"/>
      <c r="H148" s="7"/>
      <c r="I148" s="7"/>
      <c r="J148" s="7" t="s">
        <v>3681</v>
      </c>
    </row>
    <row r="149" customFormat="false" ht="35.05" hidden="false" customHeight="false" outlineLevel="0" collapsed="false">
      <c r="A149" s="7" t="s">
        <v>1564</v>
      </c>
      <c r="B149" s="7" t="s">
        <v>599</v>
      </c>
      <c r="C149" s="7" t="s">
        <v>1349</v>
      </c>
      <c r="D149" s="7" t="s">
        <v>584</v>
      </c>
      <c r="E149" s="7" t="s">
        <v>1565</v>
      </c>
      <c r="F149" s="7" t="s">
        <v>3657</v>
      </c>
      <c r="G149" s="7"/>
      <c r="H149" s="7"/>
      <c r="I149" s="7"/>
      <c r="J149" s="7" t="s">
        <v>3692</v>
      </c>
    </row>
    <row r="150" customFormat="false" ht="35.05" hidden="false" customHeight="false" outlineLevel="0" collapsed="false">
      <c r="A150" s="7" t="s">
        <v>1569</v>
      </c>
      <c r="B150" s="7" t="s">
        <v>1570</v>
      </c>
      <c r="C150" s="7" t="s">
        <v>1349</v>
      </c>
      <c r="D150" s="7" t="s">
        <v>584</v>
      </c>
      <c r="E150" s="7" t="s">
        <v>1571</v>
      </c>
      <c r="F150" s="7" t="s">
        <v>3657</v>
      </c>
      <c r="G150" s="7"/>
      <c r="H150" s="7"/>
      <c r="I150" s="7"/>
      <c r="J150" s="7" t="s">
        <v>3692</v>
      </c>
    </row>
    <row r="151" customFormat="false" ht="46.25" hidden="false" customHeight="false" outlineLevel="0" collapsed="false">
      <c r="A151" s="7" t="s">
        <v>1574</v>
      </c>
      <c r="B151" s="7" t="s">
        <v>1575</v>
      </c>
      <c r="C151" s="7" t="s">
        <v>1349</v>
      </c>
      <c r="D151" s="7" t="s">
        <v>584</v>
      </c>
      <c r="E151" s="7" t="s">
        <v>1576</v>
      </c>
      <c r="F151" s="7" t="s">
        <v>3657</v>
      </c>
      <c r="G151" s="7"/>
      <c r="H151" s="7"/>
      <c r="I151" s="7"/>
      <c r="J151" s="7" t="s">
        <v>3692</v>
      </c>
    </row>
    <row r="152" customFormat="false" ht="35.05" hidden="false" customHeight="false" outlineLevel="0" collapsed="false">
      <c r="A152" s="7" t="s">
        <v>1579</v>
      </c>
      <c r="B152" s="7" t="s">
        <v>1580</v>
      </c>
      <c r="C152" s="7" t="s">
        <v>1349</v>
      </c>
      <c r="D152" s="7" t="s">
        <v>584</v>
      </c>
      <c r="E152" s="7" t="s">
        <v>1581</v>
      </c>
      <c r="F152" s="7" t="s">
        <v>3657</v>
      </c>
      <c r="G152" s="7"/>
      <c r="H152" s="7"/>
      <c r="I152" s="7"/>
      <c r="J152" s="7" t="s">
        <v>3692</v>
      </c>
    </row>
    <row r="153" customFormat="false" ht="23.85" hidden="false" customHeight="false" outlineLevel="0" collapsed="false">
      <c r="A153" s="7" t="s">
        <v>1584</v>
      </c>
      <c r="B153" s="7" t="s">
        <v>801</v>
      </c>
      <c r="C153" s="7" t="s">
        <v>1349</v>
      </c>
      <c r="D153" s="7" t="s">
        <v>584</v>
      </c>
      <c r="E153" s="7" t="s">
        <v>1585</v>
      </c>
      <c r="F153" s="7" t="s">
        <v>3657</v>
      </c>
      <c r="G153" s="7"/>
      <c r="H153" s="7"/>
      <c r="I153" s="7"/>
      <c r="J153" s="7" t="s">
        <v>3692</v>
      </c>
    </row>
    <row r="154" customFormat="false" ht="57.45" hidden="false" customHeight="false" outlineLevel="0" collapsed="false">
      <c r="A154" s="7" t="s">
        <v>1588</v>
      </c>
      <c r="B154" s="7" t="s">
        <v>1589</v>
      </c>
      <c r="C154" s="7" t="s">
        <v>1349</v>
      </c>
      <c r="D154" s="7" t="s">
        <v>584</v>
      </c>
      <c r="E154" s="7" t="s">
        <v>1590</v>
      </c>
      <c r="F154" s="7" t="s">
        <v>3663</v>
      </c>
      <c r="G154" s="7"/>
      <c r="H154" s="7"/>
      <c r="I154" s="7"/>
      <c r="J154" s="7" t="s">
        <v>3687</v>
      </c>
    </row>
    <row r="155" customFormat="false" ht="35.05" hidden="false" customHeight="false" outlineLevel="0" collapsed="false">
      <c r="A155" s="7" t="s">
        <v>1594</v>
      </c>
      <c r="B155" s="7" t="s">
        <v>808</v>
      </c>
      <c r="C155" s="7" t="s">
        <v>1349</v>
      </c>
      <c r="D155" s="7" t="s">
        <v>584</v>
      </c>
      <c r="E155" s="7" t="s">
        <v>1595</v>
      </c>
      <c r="F155" s="7" t="s">
        <v>3656</v>
      </c>
      <c r="G155" s="7"/>
      <c r="H155" s="7"/>
      <c r="I155" s="7"/>
      <c r="J155" s="7" t="s">
        <v>3681</v>
      </c>
    </row>
    <row r="156" customFormat="false" ht="46.25" hidden="false" customHeight="false" outlineLevel="0" collapsed="false">
      <c r="A156" s="7" t="s">
        <v>1598</v>
      </c>
      <c r="B156" s="7" t="s">
        <v>812</v>
      </c>
      <c r="C156" s="7" t="s">
        <v>1349</v>
      </c>
      <c r="D156" s="7" t="s">
        <v>584</v>
      </c>
      <c r="E156" s="7" t="s">
        <v>1599</v>
      </c>
      <c r="F156" s="7" t="s">
        <v>3656</v>
      </c>
      <c r="G156" s="7"/>
      <c r="H156" s="7"/>
      <c r="I156" s="7"/>
      <c r="J156" s="7" t="s">
        <v>3681</v>
      </c>
    </row>
    <row r="157" customFormat="false" ht="46.25" hidden="false" customHeight="false" outlineLevel="0" collapsed="false">
      <c r="A157" s="7" t="s">
        <v>1601</v>
      </c>
      <c r="B157" s="7" t="s">
        <v>816</v>
      </c>
      <c r="C157" s="7" t="s">
        <v>1349</v>
      </c>
      <c r="D157" s="7" t="s">
        <v>584</v>
      </c>
      <c r="E157" s="7" t="s">
        <v>1602</v>
      </c>
      <c r="F157" s="7" t="s">
        <v>3656</v>
      </c>
      <c r="G157" s="7"/>
      <c r="H157" s="7"/>
      <c r="I157" s="7"/>
      <c r="J157" s="7" t="s">
        <v>3681</v>
      </c>
    </row>
    <row r="158" customFormat="false" ht="23.85" hidden="false" customHeight="false" outlineLevel="0" collapsed="false">
      <c r="A158" s="7" t="s">
        <v>1606</v>
      </c>
      <c r="B158" s="7" t="s">
        <v>1607</v>
      </c>
      <c r="C158" s="7" t="s">
        <v>1349</v>
      </c>
      <c r="D158" s="7" t="s">
        <v>584</v>
      </c>
      <c r="E158" s="7" t="s">
        <v>1608</v>
      </c>
      <c r="F158" s="7" t="s">
        <v>3656</v>
      </c>
      <c r="G158" s="7"/>
      <c r="H158" s="7"/>
      <c r="I158" s="7"/>
      <c r="J158" s="7" t="s">
        <v>3681</v>
      </c>
    </row>
    <row r="159" customFormat="false" ht="57.45" hidden="false" customHeight="false" outlineLevel="0" collapsed="false">
      <c r="A159" s="7" t="s">
        <v>1611</v>
      </c>
      <c r="B159" s="7" t="s">
        <v>1612</v>
      </c>
      <c r="C159" s="7" t="s">
        <v>1349</v>
      </c>
      <c r="D159" s="7" t="s">
        <v>584</v>
      </c>
      <c r="E159" s="7" t="s">
        <v>1613</v>
      </c>
      <c r="F159" s="7" t="s">
        <v>3663</v>
      </c>
      <c r="G159" s="7"/>
      <c r="H159" s="7"/>
      <c r="I159" s="7"/>
      <c r="J159" s="7" t="s">
        <v>3687</v>
      </c>
    </row>
    <row r="160" customFormat="false" ht="57.45" hidden="false" customHeight="false" outlineLevel="0" collapsed="false">
      <c r="A160" s="7" t="s">
        <v>1616</v>
      </c>
      <c r="B160" s="7" t="s">
        <v>1617</v>
      </c>
      <c r="C160" s="7" t="s">
        <v>1349</v>
      </c>
      <c r="D160" s="7" t="s">
        <v>584</v>
      </c>
      <c r="E160" s="7" t="s">
        <v>1618</v>
      </c>
      <c r="F160" s="7" t="s">
        <v>3663</v>
      </c>
      <c r="G160" s="7"/>
      <c r="H160" s="7"/>
      <c r="I160" s="7"/>
      <c r="J160" s="7" t="s">
        <v>3687</v>
      </c>
    </row>
    <row r="161" customFormat="false" ht="57.45" hidden="false" customHeight="false" outlineLevel="0" collapsed="false">
      <c r="A161" s="7" t="s">
        <v>1621</v>
      </c>
      <c r="B161" s="7" t="s">
        <v>1622</v>
      </c>
      <c r="C161" s="7" t="s">
        <v>1349</v>
      </c>
      <c r="D161" s="7" t="s">
        <v>584</v>
      </c>
      <c r="E161" s="7" t="s">
        <v>3710</v>
      </c>
      <c r="F161" s="7" t="s">
        <v>3663</v>
      </c>
      <c r="G161" s="7"/>
      <c r="H161" s="7"/>
      <c r="I161" s="7"/>
      <c r="J161" s="7" t="s">
        <v>3687</v>
      </c>
    </row>
    <row r="162" customFormat="false" ht="46.25" hidden="false" customHeight="false" outlineLevel="0" collapsed="false">
      <c r="A162" s="7" t="s">
        <v>1626</v>
      </c>
      <c r="B162" s="7" t="s">
        <v>1627</v>
      </c>
      <c r="C162" s="7" t="s">
        <v>1349</v>
      </c>
      <c r="D162" s="7" t="s">
        <v>584</v>
      </c>
      <c r="E162" s="7" t="s">
        <v>1628</v>
      </c>
      <c r="F162" s="7" t="s">
        <v>3663</v>
      </c>
      <c r="G162" s="7"/>
      <c r="H162" s="7"/>
      <c r="I162" s="7"/>
      <c r="J162" s="7" t="s">
        <v>3687</v>
      </c>
    </row>
    <row r="163" customFormat="false" ht="46.25" hidden="false" customHeight="false" outlineLevel="0" collapsed="false">
      <c r="A163" s="7" t="s">
        <v>1631</v>
      </c>
      <c r="B163" s="7" t="s">
        <v>1632</v>
      </c>
      <c r="C163" s="7" t="s">
        <v>1349</v>
      </c>
      <c r="D163" s="7" t="s">
        <v>584</v>
      </c>
      <c r="E163" s="7" t="s">
        <v>1633</v>
      </c>
      <c r="F163" s="7" t="s">
        <v>3663</v>
      </c>
      <c r="G163" s="7"/>
      <c r="H163" s="7"/>
      <c r="I163" s="7"/>
      <c r="J163" s="7" t="s">
        <v>3687</v>
      </c>
    </row>
    <row r="164" customFormat="false" ht="46.25" hidden="false" customHeight="false" outlineLevel="0" collapsed="false">
      <c r="A164" s="7" t="s">
        <v>1636</v>
      </c>
      <c r="B164" s="7" t="s">
        <v>1637</v>
      </c>
      <c r="C164" s="7" t="s">
        <v>1349</v>
      </c>
      <c r="D164" s="7" t="s">
        <v>584</v>
      </c>
      <c r="E164" s="7" t="s">
        <v>1638</v>
      </c>
      <c r="F164" s="7" t="s">
        <v>3663</v>
      </c>
      <c r="G164" s="7"/>
      <c r="H164" s="7"/>
      <c r="I164" s="7"/>
      <c r="J164" s="7" t="s">
        <v>3687</v>
      </c>
    </row>
    <row r="165" customFormat="false" ht="46.25" hidden="false" customHeight="false" outlineLevel="0" collapsed="false">
      <c r="A165" s="7" t="s">
        <v>1641</v>
      </c>
      <c r="B165" s="7" t="s">
        <v>1642</v>
      </c>
      <c r="C165" s="7" t="s">
        <v>1349</v>
      </c>
      <c r="D165" s="7" t="s">
        <v>584</v>
      </c>
      <c r="E165" s="7" t="s">
        <v>1643</v>
      </c>
      <c r="F165" s="7" t="s">
        <v>3663</v>
      </c>
      <c r="G165" s="7"/>
      <c r="H165" s="7"/>
      <c r="I165" s="7"/>
      <c r="J165" s="7" t="s">
        <v>3687</v>
      </c>
    </row>
    <row r="166" customFormat="false" ht="35.05" hidden="false" customHeight="false" outlineLevel="0" collapsed="false">
      <c r="A166" s="7" t="s">
        <v>1646</v>
      </c>
      <c r="B166" s="7" t="s">
        <v>1647</v>
      </c>
      <c r="C166" s="7" t="s">
        <v>1349</v>
      </c>
      <c r="D166" s="7" t="s">
        <v>584</v>
      </c>
      <c r="E166" s="7" t="s">
        <v>1648</v>
      </c>
      <c r="F166" s="7" t="s">
        <v>3663</v>
      </c>
      <c r="G166" s="7"/>
      <c r="H166" s="7"/>
      <c r="I166" s="7"/>
      <c r="J166" s="7" t="s">
        <v>3687</v>
      </c>
    </row>
    <row r="167" customFormat="false" ht="46.25" hidden="false" customHeight="false" outlineLevel="0" collapsed="false">
      <c r="A167" s="7" t="s">
        <v>1651</v>
      </c>
      <c r="B167" s="7" t="s">
        <v>1652</v>
      </c>
      <c r="C167" s="7" t="s">
        <v>1349</v>
      </c>
      <c r="D167" s="7" t="s">
        <v>584</v>
      </c>
      <c r="E167" s="7" t="s">
        <v>1653</v>
      </c>
      <c r="F167" s="7" t="s">
        <v>3663</v>
      </c>
      <c r="G167" s="7"/>
      <c r="H167" s="7"/>
      <c r="I167" s="7"/>
      <c r="J167" s="7" t="s">
        <v>3687</v>
      </c>
    </row>
    <row r="168" customFormat="false" ht="57.45" hidden="false" customHeight="false" outlineLevel="0" collapsed="false">
      <c r="A168" s="7" t="s">
        <v>1656</v>
      </c>
      <c r="B168" s="7" t="s">
        <v>1657</v>
      </c>
      <c r="C168" s="7" t="s">
        <v>1349</v>
      </c>
      <c r="D168" s="7" t="s">
        <v>584</v>
      </c>
      <c r="E168" s="7" t="s">
        <v>3711</v>
      </c>
      <c r="F168" s="7" t="s">
        <v>3663</v>
      </c>
      <c r="G168" s="7"/>
      <c r="H168" s="7"/>
      <c r="I168" s="7"/>
      <c r="J168" s="7" t="s">
        <v>3687</v>
      </c>
    </row>
    <row r="169" customFormat="false" ht="57.45" hidden="false" customHeight="false" outlineLevel="0" collapsed="false">
      <c r="A169" s="7" t="s">
        <v>1661</v>
      </c>
      <c r="B169" s="7" t="s">
        <v>1662</v>
      </c>
      <c r="C169" s="7" t="s">
        <v>1349</v>
      </c>
      <c r="D169" s="7" t="s">
        <v>584</v>
      </c>
      <c r="E169" s="7" t="s">
        <v>1663</v>
      </c>
      <c r="F169" s="7" t="s">
        <v>3663</v>
      </c>
      <c r="G169" s="7"/>
      <c r="H169" s="7"/>
      <c r="I169" s="7"/>
      <c r="J169" s="7" t="s">
        <v>3687</v>
      </c>
    </row>
    <row r="170" customFormat="false" ht="46.25" hidden="false" customHeight="false" outlineLevel="0" collapsed="false">
      <c r="A170" s="7" t="s">
        <v>1666</v>
      </c>
      <c r="B170" s="7" t="s">
        <v>1667</v>
      </c>
      <c r="C170" s="7" t="s">
        <v>1349</v>
      </c>
      <c r="D170" s="7" t="s">
        <v>584</v>
      </c>
      <c r="E170" s="7" t="s">
        <v>1668</v>
      </c>
      <c r="F170" s="7" t="s">
        <v>3663</v>
      </c>
      <c r="G170" s="7"/>
      <c r="H170" s="7"/>
      <c r="I170" s="7"/>
      <c r="J170" s="7" t="s">
        <v>3687</v>
      </c>
    </row>
    <row r="171" customFormat="false" ht="46.25" hidden="false" customHeight="false" outlineLevel="0" collapsed="false">
      <c r="A171" s="7" t="s">
        <v>1671</v>
      </c>
      <c r="B171" s="7" t="s">
        <v>1672</v>
      </c>
      <c r="C171" s="7" t="s">
        <v>1349</v>
      </c>
      <c r="D171" s="7" t="s">
        <v>584</v>
      </c>
      <c r="E171" s="7" t="s">
        <v>1673</v>
      </c>
      <c r="F171" s="7" t="s">
        <v>3663</v>
      </c>
      <c r="G171" s="7"/>
      <c r="H171" s="7"/>
      <c r="I171" s="7"/>
      <c r="J171" s="7" t="s">
        <v>3687</v>
      </c>
    </row>
    <row r="172" customFormat="false" ht="46.25" hidden="false" customHeight="false" outlineLevel="0" collapsed="false">
      <c r="A172" s="7" t="s">
        <v>1676</v>
      </c>
      <c r="B172" s="7" t="s">
        <v>1677</v>
      </c>
      <c r="C172" s="7" t="s">
        <v>1349</v>
      </c>
      <c r="D172" s="7" t="s">
        <v>584</v>
      </c>
      <c r="E172" s="7" t="s">
        <v>1678</v>
      </c>
      <c r="F172" s="7" t="s">
        <v>3663</v>
      </c>
      <c r="G172" s="7"/>
      <c r="H172" s="7"/>
      <c r="I172" s="7"/>
      <c r="J172" s="7" t="s">
        <v>3687</v>
      </c>
    </row>
    <row r="173" customFormat="false" ht="35.05" hidden="false" customHeight="false" outlineLevel="0" collapsed="false">
      <c r="A173" s="7" t="s">
        <v>1682</v>
      </c>
      <c r="B173" s="7" t="s">
        <v>833</v>
      </c>
      <c r="C173" s="7" t="s">
        <v>1349</v>
      </c>
      <c r="D173" s="7" t="s">
        <v>594</v>
      </c>
      <c r="E173" s="7" t="s">
        <v>1683</v>
      </c>
      <c r="F173" s="7" t="s">
        <v>3658</v>
      </c>
      <c r="G173" s="7"/>
      <c r="H173" s="7"/>
      <c r="I173" s="7"/>
      <c r="J173" s="7" t="s">
        <v>3682</v>
      </c>
    </row>
    <row r="174" customFormat="false" ht="46.25" hidden="false" customHeight="false" outlineLevel="0" collapsed="false">
      <c r="A174" s="7" t="s">
        <v>1686</v>
      </c>
      <c r="B174" s="7" t="s">
        <v>838</v>
      </c>
      <c r="C174" s="7" t="s">
        <v>1349</v>
      </c>
      <c r="D174" s="7" t="s">
        <v>594</v>
      </c>
      <c r="E174" s="7" t="s">
        <v>1687</v>
      </c>
      <c r="F174" s="7" t="s">
        <v>3658</v>
      </c>
      <c r="G174" s="7"/>
      <c r="H174" s="7"/>
      <c r="I174" s="7"/>
      <c r="J174" s="7" t="s">
        <v>3682</v>
      </c>
    </row>
    <row r="175" customFormat="false" ht="35.05" hidden="false" customHeight="false" outlineLevel="0" collapsed="false">
      <c r="A175" s="7" t="s">
        <v>1690</v>
      </c>
      <c r="B175" s="7" t="s">
        <v>1691</v>
      </c>
      <c r="C175" s="7" t="s">
        <v>1349</v>
      </c>
      <c r="D175" s="7" t="s">
        <v>594</v>
      </c>
      <c r="E175" s="7" t="s">
        <v>1692</v>
      </c>
      <c r="F175" s="7" t="s">
        <v>3658</v>
      </c>
      <c r="G175" s="7"/>
      <c r="H175" s="7"/>
      <c r="I175" s="7"/>
      <c r="J175" s="7" t="s">
        <v>3682</v>
      </c>
    </row>
    <row r="176" customFormat="false" ht="35.05" hidden="false" customHeight="false" outlineLevel="0" collapsed="false">
      <c r="A176" s="7" t="s">
        <v>1695</v>
      </c>
      <c r="B176" s="7" t="s">
        <v>1696</v>
      </c>
      <c r="C176" s="7" t="s">
        <v>1349</v>
      </c>
      <c r="D176" s="7" t="s">
        <v>594</v>
      </c>
      <c r="E176" s="7" t="s">
        <v>1697</v>
      </c>
      <c r="F176" s="7" t="s">
        <v>3658</v>
      </c>
      <c r="G176" s="7"/>
      <c r="H176" s="7"/>
      <c r="I176" s="7"/>
      <c r="J176" s="7" t="s">
        <v>3682</v>
      </c>
    </row>
    <row r="177" customFormat="false" ht="35.05" hidden="false" customHeight="false" outlineLevel="0" collapsed="false">
      <c r="A177" s="7" t="s">
        <v>1700</v>
      </c>
      <c r="B177" s="7" t="s">
        <v>1701</v>
      </c>
      <c r="C177" s="7" t="s">
        <v>1349</v>
      </c>
      <c r="D177" s="7" t="s">
        <v>594</v>
      </c>
      <c r="E177" s="7" t="s">
        <v>1702</v>
      </c>
      <c r="F177" s="7" t="s">
        <v>3658</v>
      </c>
      <c r="G177" s="7"/>
      <c r="H177" s="7"/>
      <c r="I177" s="7"/>
      <c r="J177" s="7" t="s">
        <v>3682</v>
      </c>
    </row>
    <row r="178" customFormat="false" ht="35.05" hidden="false" customHeight="false" outlineLevel="0" collapsed="false">
      <c r="A178" s="7" t="s">
        <v>1705</v>
      </c>
      <c r="B178" s="7" t="s">
        <v>841</v>
      </c>
      <c r="C178" s="7" t="s">
        <v>1349</v>
      </c>
      <c r="D178" s="7" t="s">
        <v>594</v>
      </c>
      <c r="E178" s="7" t="s">
        <v>1706</v>
      </c>
      <c r="F178" s="7" t="s">
        <v>3658</v>
      </c>
      <c r="G178" s="7"/>
      <c r="H178" s="7"/>
      <c r="I178" s="7"/>
      <c r="J178" s="7" t="s">
        <v>3682</v>
      </c>
    </row>
    <row r="179" customFormat="false" ht="35.05" hidden="false" customHeight="false" outlineLevel="0" collapsed="false">
      <c r="A179" s="7" t="s">
        <v>1709</v>
      </c>
      <c r="B179" s="7" t="s">
        <v>1710</v>
      </c>
      <c r="C179" s="7" t="s">
        <v>1349</v>
      </c>
      <c r="D179" s="7" t="s">
        <v>594</v>
      </c>
      <c r="E179" s="7" t="s">
        <v>1711</v>
      </c>
      <c r="F179" s="7" t="s">
        <v>3658</v>
      </c>
      <c r="G179" s="7" t="s">
        <v>133</v>
      </c>
      <c r="H179" s="7"/>
      <c r="I179" s="7"/>
      <c r="J179" s="7" t="s">
        <v>3682</v>
      </c>
    </row>
    <row r="180" customFormat="false" ht="35.05" hidden="false" customHeight="false" outlineLevel="0" collapsed="false">
      <c r="A180" s="7" t="s">
        <v>1714</v>
      </c>
      <c r="B180" s="7" t="s">
        <v>1715</v>
      </c>
      <c r="C180" s="7" t="s">
        <v>1349</v>
      </c>
      <c r="D180" s="7" t="s">
        <v>594</v>
      </c>
      <c r="E180" s="7" t="s">
        <v>1716</v>
      </c>
      <c r="F180" s="7" t="s">
        <v>3658</v>
      </c>
      <c r="G180" s="7" t="s">
        <v>133</v>
      </c>
      <c r="H180" s="7"/>
      <c r="I180" s="7"/>
      <c r="J180" s="7" t="s">
        <v>3682</v>
      </c>
    </row>
    <row r="181" customFormat="false" ht="57.45" hidden="false" customHeight="false" outlineLevel="0" collapsed="false">
      <c r="A181" s="7" t="s">
        <v>1719</v>
      </c>
      <c r="B181" s="7" t="s">
        <v>1720</v>
      </c>
      <c r="C181" s="7" t="s">
        <v>1349</v>
      </c>
      <c r="D181" s="7" t="s">
        <v>594</v>
      </c>
      <c r="E181" s="7" t="s">
        <v>3712</v>
      </c>
      <c r="F181" s="7" t="s">
        <v>3658</v>
      </c>
      <c r="G181" s="7"/>
      <c r="H181" s="7"/>
      <c r="I181" s="7"/>
      <c r="J181" s="7" t="s">
        <v>3682</v>
      </c>
    </row>
    <row r="182" customFormat="false" ht="35.05" hidden="false" customHeight="false" outlineLevel="0" collapsed="false">
      <c r="A182" s="7" t="s">
        <v>1724</v>
      </c>
      <c r="B182" s="7" t="s">
        <v>1725</v>
      </c>
      <c r="C182" s="7" t="s">
        <v>1349</v>
      </c>
      <c r="D182" s="7" t="s">
        <v>594</v>
      </c>
      <c r="E182" s="7" t="s">
        <v>1726</v>
      </c>
      <c r="F182" s="7" t="s">
        <v>3658</v>
      </c>
      <c r="G182" s="7"/>
      <c r="H182" s="7"/>
      <c r="I182" s="7"/>
      <c r="J182" s="7" t="s">
        <v>3682</v>
      </c>
    </row>
    <row r="183" customFormat="false" ht="23.85" hidden="false" customHeight="false" outlineLevel="0" collapsed="false">
      <c r="A183" s="7" t="s">
        <v>1729</v>
      </c>
      <c r="B183" s="7" t="s">
        <v>1730</v>
      </c>
      <c r="C183" s="7" t="s">
        <v>1349</v>
      </c>
      <c r="D183" s="7" t="s">
        <v>594</v>
      </c>
      <c r="E183" s="7" t="s">
        <v>1731</v>
      </c>
      <c r="F183" s="7" t="s">
        <v>3658</v>
      </c>
      <c r="G183" s="7"/>
      <c r="H183" s="7"/>
      <c r="I183" s="7"/>
      <c r="J183" s="7" t="s">
        <v>3682</v>
      </c>
    </row>
    <row r="184" customFormat="false" ht="35.05" hidden="false" customHeight="false" outlineLevel="0" collapsed="false">
      <c r="A184" s="7" t="s">
        <v>1735</v>
      </c>
      <c r="B184" s="7" t="s">
        <v>1736</v>
      </c>
      <c r="C184" s="7" t="s">
        <v>1349</v>
      </c>
      <c r="D184" s="7" t="s">
        <v>594</v>
      </c>
      <c r="E184" s="7" t="s">
        <v>1737</v>
      </c>
      <c r="F184" s="7" t="s">
        <v>3658</v>
      </c>
      <c r="G184" s="7"/>
      <c r="H184" s="7"/>
      <c r="I184" s="7"/>
      <c r="J184" s="7" t="s">
        <v>3682</v>
      </c>
    </row>
    <row r="185" customFormat="false" ht="35.05" hidden="false" customHeight="false" outlineLevel="0" collapsed="false">
      <c r="A185" s="7" t="s">
        <v>1740</v>
      </c>
      <c r="B185" s="7" t="s">
        <v>1741</v>
      </c>
      <c r="C185" s="7" t="s">
        <v>1349</v>
      </c>
      <c r="D185" s="7" t="s">
        <v>594</v>
      </c>
      <c r="E185" s="7" t="s">
        <v>1742</v>
      </c>
      <c r="F185" s="7" t="s">
        <v>3658</v>
      </c>
      <c r="G185" s="7"/>
      <c r="H185" s="7"/>
      <c r="I185" s="7"/>
      <c r="J185" s="7" t="s">
        <v>3682</v>
      </c>
    </row>
    <row r="186" customFormat="false" ht="23.85" hidden="false" customHeight="false" outlineLevel="0" collapsed="false">
      <c r="A186" s="7" t="s">
        <v>1745</v>
      </c>
      <c r="B186" s="7" t="s">
        <v>1746</v>
      </c>
      <c r="C186" s="7" t="s">
        <v>1349</v>
      </c>
      <c r="D186" s="7" t="s">
        <v>594</v>
      </c>
      <c r="E186" s="7" t="s">
        <v>1747</v>
      </c>
      <c r="F186" s="7" t="s">
        <v>3658</v>
      </c>
      <c r="G186" s="7"/>
      <c r="H186" s="7"/>
      <c r="I186" s="7"/>
      <c r="J186" s="7" t="s">
        <v>3682</v>
      </c>
    </row>
    <row r="187" customFormat="false" ht="35.05" hidden="false" customHeight="false" outlineLevel="0" collapsed="false">
      <c r="A187" s="7" t="s">
        <v>1751</v>
      </c>
      <c r="B187" s="7" t="s">
        <v>845</v>
      </c>
      <c r="C187" s="7" t="s">
        <v>1349</v>
      </c>
      <c r="D187" s="7" t="s">
        <v>594</v>
      </c>
      <c r="E187" s="7" t="s">
        <v>1752</v>
      </c>
      <c r="F187" s="7" t="s">
        <v>3658</v>
      </c>
      <c r="G187" s="7"/>
      <c r="H187" s="7"/>
      <c r="I187" s="7"/>
      <c r="J187" s="7" t="s">
        <v>3682</v>
      </c>
    </row>
    <row r="188" customFormat="false" ht="46.25" hidden="false" customHeight="false" outlineLevel="0" collapsed="false">
      <c r="A188" s="7" t="s">
        <v>1755</v>
      </c>
      <c r="B188" s="7" t="s">
        <v>849</v>
      </c>
      <c r="C188" s="7" t="s">
        <v>1349</v>
      </c>
      <c r="D188" s="7" t="s">
        <v>594</v>
      </c>
      <c r="E188" s="7" t="s">
        <v>1756</v>
      </c>
      <c r="F188" s="7" t="s">
        <v>3658</v>
      </c>
      <c r="G188" s="7"/>
      <c r="H188" s="7"/>
      <c r="I188" s="7"/>
      <c r="J188" s="7" t="s">
        <v>3682</v>
      </c>
    </row>
    <row r="189" customFormat="false" ht="46.25" hidden="false" customHeight="false" outlineLevel="0" collapsed="false">
      <c r="A189" s="7" t="s">
        <v>1759</v>
      </c>
      <c r="B189" s="7" t="s">
        <v>1760</v>
      </c>
      <c r="C189" s="7" t="s">
        <v>1349</v>
      </c>
      <c r="D189" s="7" t="s">
        <v>594</v>
      </c>
      <c r="E189" s="7" t="s">
        <v>1761</v>
      </c>
      <c r="F189" s="7" t="s">
        <v>3658</v>
      </c>
      <c r="G189" s="7"/>
      <c r="H189" s="7"/>
      <c r="I189" s="7"/>
      <c r="J189" s="7" t="s">
        <v>3682</v>
      </c>
    </row>
    <row r="190" customFormat="false" ht="35.05" hidden="false" customHeight="false" outlineLevel="0" collapsed="false">
      <c r="A190" s="7" t="s">
        <v>1764</v>
      </c>
      <c r="B190" s="7" t="s">
        <v>852</v>
      </c>
      <c r="C190" s="7" t="s">
        <v>1349</v>
      </c>
      <c r="D190" s="7" t="s">
        <v>594</v>
      </c>
      <c r="E190" s="7" t="s">
        <v>1765</v>
      </c>
      <c r="F190" s="7" t="s">
        <v>3658</v>
      </c>
      <c r="G190" s="7"/>
      <c r="H190" s="7"/>
      <c r="I190" s="7"/>
      <c r="J190" s="7" t="s">
        <v>3682</v>
      </c>
    </row>
    <row r="191" customFormat="false" ht="35.05" hidden="false" customHeight="false" outlineLevel="0" collapsed="false">
      <c r="A191" s="7" t="s">
        <v>1768</v>
      </c>
      <c r="B191" s="7" t="s">
        <v>1769</v>
      </c>
      <c r="C191" s="7" t="s">
        <v>1349</v>
      </c>
      <c r="D191" s="7" t="s">
        <v>594</v>
      </c>
      <c r="E191" s="7" t="s">
        <v>1770</v>
      </c>
      <c r="F191" s="7" t="s">
        <v>3658</v>
      </c>
      <c r="G191" s="7"/>
      <c r="H191" s="7"/>
      <c r="I191" s="7"/>
      <c r="J191" s="7" t="s">
        <v>3682</v>
      </c>
    </row>
    <row r="192" customFormat="false" ht="23.85" hidden="false" customHeight="false" outlineLevel="0" collapsed="false">
      <c r="A192" s="7" t="s">
        <v>1774</v>
      </c>
      <c r="B192" s="7" t="s">
        <v>1775</v>
      </c>
      <c r="C192" s="7" t="s">
        <v>1349</v>
      </c>
      <c r="D192" s="7" t="s">
        <v>594</v>
      </c>
      <c r="E192" s="7" t="s">
        <v>1776</v>
      </c>
      <c r="F192" s="7" t="s">
        <v>3658</v>
      </c>
      <c r="G192" s="7"/>
      <c r="H192" s="7"/>
      <c r="I192" s="7"/>
      <c r="J192" s="7" t="s">
        <v>3682</v>
      </c>
    </row>
    <row r="193" customFormat="false" ht="35.05" hidden="false" customHeight="false" outlineLevel="0" collapsed="false">
      <c r="A193" s="7" t="s">
        <v>1779</v>
      </c>
      <c r="B193" s="7" t="s">
        <v>1780</v>
      </c>
      <c r="C193" s="7" t="s">
        <v>1349</v>
      </c>
      <c r="D193" s="7" t="s">
        <v>594</v>
      </c>
      <c r="E193" s="7" t="s">
        <v>1781</v>
      </c>
      <c r="F193" s="7" t="s">
        <v>3658</v>
      </c>
      <c r="G193" s="7"/>
      <c r="H193" s="7"/>
      <c r="I193" s="7"/>
      <c r="J193" s="7" t="s">
        <v>3682</v>
      </c>
    </row>
    <row r="194" customFormat="false" ht="35.05" hidden="false" customHeight="false" outlineLevel="0" collapsed="false">
      <c r="A194" s="7" t="s">
        <v>1784</v>
      </c>
      <c r="B194" s="7" t="s">
        <v>1785</v>
      </c>
      <c r="C194" s="7" t="s">
        <v>1349</v>
      </c>
      <c r="D194" s="7" t="s">
        <v>594</v>
      </c>
      <c r="E194" s="7" t="s">
        <v>1786</v>
      </c>
      <c r="F194" s="7" t="s">
        <v>3658</v>
      </c>
      <c r="G194" s="7"/>
      <c r="H194" s="7"/>
      <c r="I194" s="7"/>
      <c r="J194" s="7" t="s">
        <v>3682</v>
      </c>
    </row>
    <row r="195" customFormat="false" ht="23.85" hidden="false" customHeight="false" outlineLevel="0" collapsed="false">
      <c r="A195" s="7" t="s">
        <v>1789</v>
      </c>
      <c r="B195" s="7" t="s">
        <v>856</v>
      </c>
      <c r="C195" s="7" t="s">
        <v>1349</v>
      </c>
      <c r="D195" s="7" t="s">
        <v>594</v>
      </c>
      <c r="E195" s="7" t="s">
        <v>1790</v>
      </c>
      <c r="F195" s="7" t="s">
        <v>3658</v>
      </c>
      <c r="G195" s="7"/>
      <c r="H195" s="7"/>
      <c r="I195" s="7"/>
      <c r="J195" s="7" t="s">
        <v>3682</v>
      </c>
    </row>
    <row r="196" customFormat="false" ht="46.25" hidden="false" customHeight="false" outlineLevel="0" collapsed="false">
      <c r="A196" s="7" t="s">
        <v>1794</v>
      </c>
      <c r="B196" s="7" t="s">
        <v>1795</v>
      </c>
      <c r="C196" s="7" t="s">
        <v>1349</v>
      </c>
      <c r="D196" s="7" t="s">
        <v>1184</v>
      </c>
      <c r="E196" s="7" t="s">
        <v>1796</v>
      </c>
      <c r="F196" s="7" t="s">
        <v>3696</v>
      </c>
      <c r="G196" s="7"/>
      <c r="H196" s="7"/>
      <c r="I196" s="7"/>
      <c r="J196" s="7" t="s">
        <v>3697</v>
      </c>
    </row>
    <row r="197" customFormat="false" ht="23.85" hidden="false" customHeight="false" outlineLevel="0" collapsed="false">
      <c r="A197" s="7" t="s">
        <v>1799</v>
      </c>
      <c r="B197" s="7" t="s">
        <v>892</v>
      </c>
      <c r="C197" s="7" t="s">
        <v>1349</v>
      </c>
      <c r="D197" s="7" t="s">
        <v>1184</v>
      </c>
      <c r="E197" s="7" t="s">
        <v>1800</v>
      </c>
      <c r="F197" s="7" t="s">
        <v>3662</v>
      </c>
      <c r="G197" s="7"/>
      <c r="H197" s="7"/>
      <c r="I197" s="7"/>
      <c r="J197" s="7" t="s">
        <v>3698</v>
      </c>
    </row>
    <row r="198" customFormat="false" ht="23.85" hidden="false" customHeight="false" outlineLevel="0" collapsed="false">
      <c r="A198" s="7" t="s">
        <v>1803</v>
      </c>
      <c r="B198" s="7" t="s">
        <v>1804</v>
      </c>
      <c r="C198" s="7" t="s">
        <v>1349</v>
      </c>
      <c r="D198" s="7" t="s">
        <v>1184</v>
      </c>
      <c r="E198" s="7" t="s">
        <v>1805</v>
      </c>
      <c r="F198" s="7" t="s">
        <v>3662</v>
      </c>
      <c r="G198" s="7"/>
      <c r="H198" s="7"/>
      <c r="I198" s="7"/>
      <c r="J198" s="7" t="s">
        <v>3698</v>
      </c>
    </row>
    <row r="199" customFormat="false" ht="35.05" hidden="false" customHeight="false" outlineLevel="0" collapsed="false">
      <c r="A199" s="7" t="s">
        <v>1808</v>
      </c>
      <c r="B199" s="7" t="s">
        <v>1809</v>
      </c>
      <c r="C199" s="7" t="s">
        <v>1349</v>
      </c>
      <c r="D199" s="7" t="s">
        <v>1184</v>
      </c>
      <c r="E199" s="7" t="s">
        <v>1810</v>
      </c>
      <c r="F199" s="7" t="s">
        <v>3662</v>
      </c>
      <c r="G199" s="7"/>
      <c r="H199" s="7"/>
      <c r="I199" s="7"/>
      <c r="J199" s="7" t="s">
        <v>3698</v>
      </c>
    </row>
    <row r="200" customFormat="false" ht="23.85" hidden="false" customHeight="false" outlineLevel="0" collapsed="false">
      <c r="A200" s="7" t="s">
        <v>1814</v>
      </c>
      <c r="B200" s="7" t="s">
        <v>1815</v>
      </c>
      <c r="C200" s="7" t="s">
        <v>1349</v>
      </c>
      <c r="D200" s="7" t="s">
        <v>1184</v>
      </c>
      <c r="E200" s="7" t="s">
        <v>1816</v>
      </c>
      <c r="F200" s="7" t="s">
        <v>3662</v>
      </c>
      <c r="G200" s="7"/>
      <c r="H200" s="7"/>
      <c r="I200" s="7"/>
      <c r="J200" s="7" t="s">
        <v>3698</v>
      </c>
    </row>
    <row r="201" customFormat="false" ht="23.85" hidden="false" customHeight="false" outlineLevel="0" collapsed="false">
      <c r="A201" s="7" t="s">
        <v>1819</v>
      </c>
      <c r="B201" s="7" t="s">
        <v>1820</v>
      </c>
      <c r="C201" s="7" t="s">
        <v>1349</v>
      </c>
      <c r="D201" s="7" t="s">
        <v>1184</v>
      </c>
      <c r="E201" s="7" t="s">
        <v>1821</v>
      </c>
      <c r="F201" s="7" t="s">
        <v>3662</v>
      </c>
      <c r="G201" s="7"/>
      <c r="H201" s="7"/>
      <c r="I201" s="7"/>
      <c r="J201" s="7" t="s">
        <v>3698</v>
      </c>
    </row>
    <row r="202" customFormat="false" ht="46.25" hidden="false" customHeight="false" outlineLevel="0" collapsed="false">
      <c r="A202" s="7" t="s">
        <v>1825</v>
      </c>
      <c r="B202" s="7" t="s">
        <v>1826</v>
      </c>
      <c r="C202" s="7" t="s">
        <v>1349</v>
      </c>
      <c r="D202" s="7" t="s">
        <v>1207</v>
      </c>
      <c r="E202" s="7" t="s">
        <v>1827</v>
      </c>
      <c r="F202" s="7" t="s">
        <v>3668</v>
      </c>
      <c r="G202" s="7"/>
      <c r="H202" s="7"/>
      <c r="I202" s="7"/>
      <c r="J202" s="7" t="s">
        <v>3693</v>
      </c>
    </row>
    <row r="203" customFormat="false" ht="46.25" hidden="false" customHeight="false" outlineLevel="0" collapsed="false">
      <c r="A203" s="7" t="s">
        <v>1829</v>
      </c>
      <c r="B203" s="7" t="s">
        <v>1830</v>
      </c>
      <c r="C203" s="7" t="s">
        <v>1349</v>
      </c>
      <c r="D203" s="7" t="s">
        <v>1207</v>
      </c>
      <c r="E203" s="7" t="s">
        <v>1831</v>
      </c>
      <c r="F203" s="7" t="s">
        <v>3668</v>
      </c>
      <c r="G203" s="7" t="s">
        <v>133</v>
      </c>
      <c r="H203" s="7"/>
      <c r="I203" s="7"/>
      <c r="J203" s="7" t="s">
        <v>3693</v>
      </c>
    </row>
    <row r="204" customFormat="false" ht="57.45" hidden="false" customHeight="false" outlineLevel="0" collapsed="false">
      <c r="A204" s="7" t="s">
        <v>1833</v>
      </c>
      <c r="B204" s="7" t="s">
        <v>1834</v>
      </c>
      <c r="C204" s="7" t="s">
        <v>1349</v>
      </c>
      <c r="D204" s="7" t="s">
        <v>1207</v>
      </c>
      <c r="E204" s="7" t="s">
        <v>3713</v>
      </c>
      <c r="F204" s="7" t="s">
        <v>3668</v>
      </c>
      <c r="G204" s="7"/>
      <c r="H204" s="7"/>
      <c r="I204" s="7"/>
      <c r="J204" s="7" t="s">
        <v>3693</v>
      </c>
    </row>
    <row r="205" customFormat="false" ht="35.05" hidden="false" customHeight="false" outlineLevel="0" collapsed="false">
      <c r="A205" s="7" t="s">
        <v>1837</v>
      </c>
      <c r="B205" s="7" t="s">
        <v>1838</v>
      </c>
      <c r="C205" s="7" t="s">
        <v>1349</v>
      </c>
      <c r="D205" s="7" t="s">
        <v>1207</v>
      </c>
      <c r="E205" s="7" t="s">
        <v>1839</v>
      </c>
      <c r="F205" s="7" t="s">
        <v>3668</v>
      </c>
      <c r="G205" s="7"/>
      <c r="H205" s="7"/>
      <c r="I205" s="7"/>
      <c r="J205" s="7" t="s">
        <v>3693</v>
      </c>
    </row>
    <row r="206" customFormat="false" ht="57.45" hidden="false" customHeight="false" outlineLevel="0" collapsed="false">
      <c r="A206" s="7" t="s">
        <v>1841</v>
      </c>
      <c r="B206" s="7" t="s">
        <v>1842</v>
      </c>
      <c r="C206" s="7" t="s">
        <v>1349</v>
      </c>
      <c r="D206" s="7" t="s">
        <v>1207</v>
      </c>
      <c r="E206" s="7" t="s">
        <v>3714</v>
      </c>
      <c r="F206" s="7" t="s">
        <v>3668</v>
      </c>
      <c r="G206" s="7"/>
      <c r="H206" s="7"/>
      <c r="I206" s="7"/>
      <c r="J206" s="7" t="s">
        <v>3693</v>
      </c>
    </row>
    <row r="207" customFormat="false" ht="57.45" hidden="false" customHeight="false" outlineLevel="0" collapsed="false">
      <c r="A207" s="7" t="s">
        <v>1845</v>
      </c>
      <c r="B207" s="7" t="s">
        <v>1846</v>
      </c>
      <c r="C207" s="7" t="s">
        <v>1349</v>
      </c>
      <c r="D207" s="7" t="s">
        <v>1207</v>
      </c>
      <c r="E207" s="7" t="s">
        <v>1847</v>
      </c>
      <c r="F207" s="7" t="s">
        <v>3668</v>
      </c>
      <c r="G207" s="7"/>
      <c r="H207" s="7"/>
      <c r="I207" s="7"/>
      <c r="J207" s="7" t="s">
        <v>3693</v>
      </c>
    </row>
    <row r="208" customFormat="false" ht="57.45" hidden="false" customHeight="false" outlineLevel="0" collapsed="false">
      <c r="A208" s="7" t="s">
        <v>1850</v>
      </c>
      <c r="B208" s="7" t="s">
        <v>1851</v>
      </c>
      <c r="C208" s="7" t="s">
        <v>1349</v>
      </c>
      <c r="D208" s="7" t="s">
        <v>1207</v>
      </c>
      <c r="E208" s="7" t="s">
        <v>3715</v>
      </c>
      <c r="F208" s="7" t="s">
        <v>3668</v>
      </c>
      <c r="G208" s="7"/>
      <c r="H208" s="7"/>
      <c r="I208" s="7"/>
      <c r="J208" s="7" t="s">
        <v>3693</v>
      </c>
    </row>
    <row r="209" customFormat="false" ht="57.45" hidden="false" customHeight="false" outlineLevel="0" collapsed="false">
      <c r="A209" s="7" t="s">
        <v>1854</v>
      </c>
      <c r="B209" s="7" t="s">
        <v>1855</v>
      </c>
      <c r="C209" s="7" t="s">
        <v>1349</v>
      </c>
      <c r="D209" s="7" t="s">
        <v>1207</v>
      </c>
      <c r="E209" s="7" t="s">
        <v>1856</v>
      </c>
      <c r="F209" s="7" t="s">
        <v>3668</v>
      </c>
      <c r="G209" s="7"/>
      <c r="H209" s="7"/>
      <c r="I209" s="7"/>
      <c r="J209" s="7" t="s">
        <v>3693</v>
      </c>
    </row>
    <row r="210" customFormat="false" ht="46.25" hidden="false" customHeight="false" outlineLevel="0" collapsed="false">
      <c r="A210" s="7" t="s">
        <v>1858</v>
      </c>
      <c r="B210" s="7" t="s">
        <v>1859</v>
      </c>
      <c r="C210" s="7" t="s">
        <v>1349</v>
      </c>
      <c r="D210" s="7" t="s">
        <v>1207</v>
      </c>
      <c r="E210" s="7" t="s">
        <v>1860</v>
      </c>
      <c r="F210" s="7" t="s">
        <v>3668</v>
      </c>
      <c r="G210" s="7"/>
      <c r="H210" s="7"/>
      <c r="I210" s="7"/>
      <c r="J210" s="7" t="s">
        <v>3693</v>
      </c>
    </row>
    <row r="211" customFormat="false" ht="23.85" hidden="false" customHeight="false" outlineLevel="0" collapsed="false">
      <c r="A211" s="7" t="s">
        <v>1862</v>
      </c>
      <c r="B211" s="7" t="s">
        <v>900</v>
      </c>
      <c r="C211" s="7" t="s">
        <v>1349</v>
      </c>
      <c r="D211" s="7" t="s">
        <v>1207</v>
      </c>
      <c r="E211" s="7" t="s">
        <v>1863</v>
      </c>
      <c r="F211" s="7" t="s">
        <v>3668</v>
      </c>
      <c r="G211" s="7"/>
      <c r="H211" s="7"/>
      <c r="I211" s="7"/>
      <c r="J211" s="7" t="s">
        <v>3693</v>
      </c>
    </row>
    <row r="212" customFormat="false" ht="23.85" hidden="false" customHeight="false" outlineLevel="0" collapsed="false">
      <c r="A212" s="7" t="s">
        <v>1867</v>
      </c>
      <c r="B212" s="7" t="s">
        <v>1868</v>
      </c>
      <c r="C212" s="7" t="s">
        <v>1349</v>
      </c>
      <c r="D212" s="7" t="s">
        <v>1207</v>
      </c>
      <c r="E212" s="7" t="s">
        <v>1869</v>
      </c>
      <c r="F212" s="7" t="s">
        <v>3668</v>
      </c>
      <c r="G212" s="7"/>
      <c r="H212" s="7"/>
      <c r="I212" s="7"/>
      <c r="J212" s="7" t="s">
        <v>3693</v>
      </c>
    </row>
    <row r="213" customFormat="false" ht="23.85" hidden="false" customHeight="false" outlineLevel="0" collapsed="false">
      <c r="A213" s="7" t="s">
        <v>1872</v>
      </c>
      <c r="B213" s="7" t="s">
        <v>1873</v>
      </c>
      <c r="C213" s="7" t="s">
        <v>1349</v>
      </c>
      <c r="D213" s="7" t="s">
        <v>1207</v>
      </c>
      <c r="E213" s="7" t="s">
        <v>1874</v>
      </c>
      <c r="F213" s="7" t="s">
        <v>3668</v>
      </c>
      <c r="G213" s="7"/>
      <c r="H213" s="7"/>
      <c r="I213" s="7"/>
      <c r="J213" s="7" t="s">
        <v>3693</v>
      </c>
    </row>
    <row r="214" customFormat="false" ht="35.05" hidden="false" customHeight="false" outlineLevel="0" collapsed="false">
      <c r="A214" s="7" t="s">
        <v>1877</v>
      </c>
      <c r="B214" s="7" t="s">
        <v>1878</v>
      </c>
      <c r="C214" s="7" t="s">
        <v>1349</v>
      </c>
      <c r="D214" s="7" t="s">
        <v>1207</v>
      </c>
      <c r="E214" s="7" t="s">
        <v>1879</v>
      </c>
      <c r="F214" s="7" t="s">
        <v>3668</v>
      </c>
      <c r="G214" s="7"/>
      <c r="H214" s="7"/>
      <c r="I214" s="7"/>
      <c r="J214" s="7" t="s">
        <v>3693</v>
      </c>
    </row>
    <row r="215" customFormat="false" ht="35.05" hidden="false" customHeight="false" outlineLevel="0" collapsed="false">
      <c r="A215" s="7" t="s">
        <v>1882</v>
      </c>
      <c r="B215" s="7" t="s">
        <v>909</v>
      </c>
      <c r="C215" s="7" t="s">
        <v>1349</v>
      </c>
      <c r="D215" s="7" t="s">
        <v>1207</v>
      </c>
      <c r="E215" s="7" t="s">
        <v>1883</v>
      </c>
      <c r="F215" s="7" t="s">
        <v>3700</v>
      </c>
      <c r="G215" s="7"/>
      <c r="H215" s="7"/>
      <c r="I215" s="7"/>
      <c r="J215" s="7" t="s">
        <v>3701</v>
      </c>
    </row>
    <row r="216" customFormat="false" ht="57.45" hidden="false" customHeight="false" outlineLevel="0" collapsed="false">
      <c r="A216" s="7" t="s">
        <v>1885</v>
      </c>
      <c r="B216" s="7" t="s">
        <v>1886</v>
      </c>
      <c r="C216" s="7" t="s">
        <v>1349</v>
      </c>
      <c r="D216" s="7" t="s">
        <v>1207</v>
      </c>
      <c r="E216" s="7" t="s">
        <v>3716</v>
      </c>
      <c r="F216" s="7" t="s">
        <v>3669</v>
      </c>
      <c r="G216" s="7"/>
      <c r="H216" s="7"/>
      <c r="I216" s="7"/>
      <c r="J216" s="7" t="s">
        <v>3702</v>
      </c>
    </row>
    <row r="217" customFormat="false" ht="57.45" hidden="false" customHeight="false" outlineLevel="0" collapsed="false">
      <c r="A217" s="7" t="s">
        <v>1889</v>
      </c>
      <c r="B217" s="7" t="s">
        <v>1890</v>
      </c>
      <c r="C217" s="7" t="s">
        <v>1349</v>
      </c>
      <c r="D217" s="7" t="s">
        <v>1207</v>
      </c>
      <c r="E217" s="7" t="s">
        <v>3717</v>
      </c>
      <c r="F217" s="7" t="s">
        <v>3669</v>
      </c>
      <c r="G217" s="7"/>
      <c r="H217" s="7"/>
      <c r="I217" s="7"/>
      <c r="J217" s="7" t="s">
        <v>3702</v>
      </c>
    </row>
    <row r="218" customFormat="false" ht="46.25" hidden="false" customHeight="false" outlineLevel="0" collapsed="false">
      <c r="A218" s="7" t="s">
        <v>1894</v>
      </c>
      <c r="B218" s="7" t="s">
        <v>1895</v>
      </c>
      <c r="C218" s="7" t="s">
        <v>1349</v>
      </c>
      <c r="D218" s="7" t="s">
        <v>1207</v>
      </c>
      <c r="E218" s="7" t="s">
        <v>1896</v>
      </c>
      <c r="F218" s="7" t="s">
        <v>3669</v>
      </c>
      <c r="G218" s="7"/>
      <c r="H218" s="7"/>
      <c r="I218" s="7"/>
      <c r="J218" s="7" t="s">
        <v>3702</v>
      </c>
    </row>
    <row r="219" customFormat="false" ht="46.25" hidden="false" customHeight="false" outlineLevel="0" collapsed="false">
      <c r="A219" s="7" t="s">
        <v>1898</v>
      </c>
      <c r="B219" s="7" t="s">
        <v>948</v>
      </c>
      <c r="C219" s="7" t="s">
        <v>1349</v>
      </c>
      <c r="D219" s="7" t="s">
        <v>613</v>
      </c>
      <c r="E219" s="7" t="s">
        <v>1899</v>
      </c>
      <c r="F219" s="7" t="s">
        <v>3665</v>
      </c>
      <c r="G219" s="7"/>
      <c r="H219" s="7"/>
      <c r="I219" s="7"/>
      <c r="J219" s="7" t="s">
        <v>3683</v>
      </c>
    </row>
    <row r="220" customFormat="false" ht="35.05" hidden="false" customHeight="false" outlineLevel="0" collapsed="false">
      <c r="A220" s="7" t="s">
        <v>1901</v>
      </c>
      <c r="B220" s="7" t="s">
        <v>952</v>
      </c>
      <c r="C220" s="7" t="s">
        <v>1349</v>
      </c>
      <c r="D220" s="7" t="s">
        <v>613</v>
      </c>
      <c r="E220" s="7" t="s">
        <v>1902</v>
      </c>
      <c r="F220" s="7" t="s">
        <v>3665</v>
      </c>
      <c r="G220" s="7" t="s">
        <v>133</v>
      </c>
      <c r="H220" s="7"/>
      <c r="I220" s="7"/>
      <c r="J220" s="7" t="s">
        <v>3683</v>
      </c>
    </row>
    <row r="221" customFormat="false" ht="46.25" hidden="false" customHeight="false" outlineLevel="0" collapsed="false">
      <c r="A221" s="7" t="s">
        <v>1904</v>
      </c>
      <c r="B221" s="7" t="s">
        <v>956</v>
      </c>
      <c r="C221" s="7" t="s">
        <v>1349</v>
      </c>
      <c r="D221" s="7" t="s">
        <v>613</v>
      </c>
      <c r="E221" s="7" t="s">
        <v>1905</v>
      </c>
      <c r="F221" s="7" t="s">
        <v>3665</v>
      </c>
      <c r="G221" s="7" t="s">
        <v>133</v>
      </c>
      <c r="H221" s="7"/>
      <c r="I221" s="7"/>
      <c r="J221" s="7" t="s">
        <v>3683</v>
      </c>
    </row>
    <row r="222" customFormat="false" ht="35.05" hidden="false" customHeight="false" outlineLevel="0" collapsed="false">
      <c r="A222" s="7" t="s">
        <v>1907</v>
      </c>
      <c r="B222" s="7" t="s">
        <v>1908</v>
      </c>
      <c r="C222" s="7" t="s">
        <v>1349</v>
      </c>
      <c r="D222" s="7" t="s">
        <v>613</v>
      </c>
      <c r="E222" s="7" t="s">
        <v>1909</v>
      </c>
      <c r="F222" s="7" t="s">
        <v>3665</v>
      </c>
      <c r="G222" s="7"/>
      <c r="H222" s="7"/>
      <c r="I222" s="7"/>
      <c r="J222" s="7" t="s">
        <v>3683</v>
      </c>
    </row>
    <row r="223" customFormat="false" ht="46.25" hidden="false" customHeight="false" outlineLevel="0" collapsed="false">
      <c r="A223" s="7" t="s">
        <v>1911</v>
      </c>
      <c r="B223" s="7" t="s">
        <v>1912</v>
      </c>
      <c r="C223" s="7" t="s">
        <v>1349</v>
      </c>
      <c r="D223" s="7" t="s">
        <v>613</v>
      </c>
      <c r="E223" s="7" t="s">
        <v>1913</v>
      </c>
      <c r="F223" s="7" t="s">
        <v>3665</v>
      </c>
      <c r="G223" s="7"/>
      <c r="H223" s="7"/>
      <c r="I223" s="7"/>
      <c r="J223" s="7" t="s">
        <v>3683</v>
      </c>
    </row>
    <row r="224" customFormat="false" ht="35.05" hidden="false" customHeight="false" outlineLevel="0" collapsed="false">
      <c r="A224" s="7" t="s">
        <v>1916</v>
      </c>
      <c r="B224" s="7" t="s">
        <v>1917</v>
      </c>
      <c r="C224" s="7" t="s">
        <v>1349</v>
      </c>
      <c r="D224" s="7" t="s">
        <v>613</v>
      </c>
      <c r="E224" s="7" t="s">
        <v>1918</v>
      </c>
      <c r="F224" s="7" t="s">
        <v>3665</v>
      </c>
      <c r="G224" s="7"/>
      <c r="H224" s="7"/>
      <c r="I224" s="7"/>
      <c r="J224" s="7" t="s">
        <v>3683</v>
      </c>
    </row>
    <row r="225" customFormat="false" ht="35.05" hidden="false" customHeight="false" outlineLevel="0" collapsed="false">
      <c r="A225" s="7" t="s">
        <v>1921</v>
      </c>
      <c r="B225" s="7" t="s">
        <v>1922</v>
      </c>
      <c r="C225" s="7" t="s">
        <v>1349</v>
      </c>
      <c r="D225" s="7" t="s">
        <v>613</v>
      </c>
      <c r="E225" s="7" t="s">
        <v>1923</v>
      </c>
      <c r="F225" s="7" t="s">
        <v>3665</v>
      </c>
      <c r="G225" s="7"/>
      <c r="H225" s="7"/>
      <c r="I225" s="7"/>
      <c r="J225" s="7" t="s">
        <v>3683</v>
      </c>
    </row>
    <row r="226" customFormat="false" ht="23.85" hidden="false" customHeight="false" outlineLevel="0" collapsed="false">
      <c r="A226" s="7" t="s">
        <v>1925</v>
      </c>
      <c r="B226" s="7" t="s">
        <v>1926</v>
      </c>
      <c r="C226" s="7" t="s">
        <v>1349</v>
      </c>
      <c r="D226" s="7" t="s">
        <v>613</v>
      </c>
      <c r="E226" s="7" t="s">
        <v>1927</v>
      </c>
      <c r="F226" s="7" t="s">
        <v>3665</v>
      </c>
      <c r="G226" s="7"/>
      <c r="H226" s="7"/>
      <c r="I226" s="7"/>
      <c r="J226" s="7" t="s">
        <v>3683</v>
      </c>
    </row>
    <row r="227" customFormat="false" ht="35.05" hidden="false" customHeight="false" outlineLevel="0" collapsed="false">
      <c r="A227" s="7" t="s">
        <v>1929</v>
      </c>
      <c r="B227" s="7" t="s">
        <v>1930</v>
      </c>
      <c r="C227" s="7" t="s">
        <v>1349</v>
      </c>
      <c r="D227" s="7" t="s">
        <v>613</v>
      </c>
      <c r="E227" s="7" t="s">
        <v>1931</v>
      </c>
      <c r="F227" s="7" t="s">
        <v>3665</v>
      </c>
      <c r="G227" s="7" t="s">
        <v>133</v>
      </c>
      <c r="H227" s="7"/>
      <c r="I227" s="7"/>
      <c r="J227" s="7" t="s">
        <v>3683</v>
      </c>
    </row>
    <row r="228" customFormat="false" ht="35.05" hidden="false" customHeight="false" outlineLevel="0" collapsed="false">
      <c r="A228" s="7" t="s">
        <v>1935</v>
      </c>
      <c r="B228" s="7" t="s">
        <v>1936</v>
      </c>
      <c r="C228" s="7" t="s">
        <v>1349</v>
      </c>
      <c r="D228" s="7" t="s">
        <v>613</v>
      </c>
      <c r="E228" s="7" t="s">
        <v>1937</v>
      </c>
      <c r="F228" s="7" t="s">
        <v>3665</v>
      </c>
      <c r="G228" s="7" t="s">
        <v>133</v>
      </c>
      <c r="H228" s="7"/>
      <c r="I228" s="7"/>
      <c r="J228" s="7" t="s">
        <v>3683</v>
      </c>
    </row>
    <row r="229" customFormat="false" ht="35.05" hidden="false" customHeight="false" outlineLevel="0" collapsed="false">
      <c r="A229" s="7" t="s">
        <v>1939</v>
      </c>
      <c r="B229" s="7" t="s">
        <v>1940</v>
      </c>
      <c r="C229" s="7" t="s">
        <v>1349</v>
      </c>
      <c r="D229" s="7" t="s">
        <v>613</v>
      </c>
      <c r="E229" s="7" t="s">
        <v>1941</v>
      </c>
      <c r="F229" s="7" t="s">
        <v>3665</v>
      </c>
      <c r="G229" s="7" t="s">
        <v>133</v>
      </c>
      <c r="H229" s="7"/>
      <c r="I229" s="7"/>
      <c r="J229" s="7" t="s">
        <v>3683</v>
      </c>
    </row>
    <row r="230" customFormat="false" ht="35.05" hidden="false" customHeight="false" outlineLevel="0" collapsed="false">
      <c r="A230" s="7" t="s">
        <v>1943</v>
      </c>
      <c r="B230" s="7" t="s">
        <v>1944</v>
      </c>
      <c r="C230" s="7" t="s">
        <v>1349</v>
      </c>
      <c r="D230" s="7" t="s">
        <v>613</v>
      </c>
      <c r="E230" s="7" t="s">
        <v>1945</v>
      </c>
      <c r="F230" s="7" t="s">
        <v>3665</v>
      </c>
      <c r="G230" s="7" t="s">
        <v>133</v>
      </c>
      <c r="H230" s="7"/>
      <c r="I230" s="7"/>
      <c r="J230" s="7" t="s">
        <v>3683</v>
      </c>
    </row>
    <row r="231" customFormat="false" ht="23.85" hidden="false" customHeight="false" outlineLevel="0" collapsed="false">
      <c r="A231" s="7" t="s">
        <v>1947</v>
      </c>
      <c r="B231" s="7" t="s">
        <v>1948</v>
      </c>
      <c r="C231" s="7" t="s">
        <v>1349</v>
      </c>
      <c r="D231" s="7" t="s">
        <v>613</v>
      </c>
      <c r="E231" s="7" t="s">
        <v>1949</v>
      </c>
      <c r="F231" s="7" t="s">
        <v>3665</v>
      </c>
      <c r="G231" s="7" t="s">
        <v>133</v>
      </c>
      <c r="H231" s="7"/>
      <c r="I231" s="7"/>
      <c r="J231" s="7" t="s">
        <v>3683</v>
      </c>
    </row>
    <row r="232" customFormat="false" ht="23.85" hidden="false" customHeight="false" outlineLevel="0" collapsed="false">
      <c r="A232" s="7" t="s">
        <v>1951</v>
      </c>
      <c r="B232" s="7" t="s">
        <v>1952</v>
      </c>
      <c r="C232" s="7" t="s">
        <v>1349</v>
      </c>
      <c r="D232" s="7" t="s">
        <v>613</v>
      </c>
      <c r="E232" s="7" t="s">
        <v>1953</v>
      </c>
      <c r="F232" s="7" t="s">
        <v>3667</v>
      </c>
      <c r="G232" s="7"/>
      <c r="H232" s="7"/>
      <c r="I232" s="7"/>
      <c r="J232" s="7" t="s">
        <v>3718</v>
      </c>
    </row>
    <row r="233" customFormat="false" ht="57.45" hidden="false" customHeight="false" outlineLevel="0" collapsed="false">
      <c r="A233" s="7" t="s">
        <v>1957</v>
      </c>
      <c r="B233" s="7" t="s">
        <v>1958</v>
      </c>
      <c r="C233" s="7" t="s">
        <v>1349</v>
      </c>
      <c r="D233" s="7" t="s">
        <v>613</v>
      </c>
      <c r="E233" s="7" t="s">
        <v>1959</v>
      </c>
      <c r="F233" s="7" t="s">
        <v>3667</v>
      </c>
      <c r="G233" s="7"/>
      <c r="H233" s="7"/>
      <c r="I233" s="7"/>
      <c r="J233" s="7" t="s">
        <v>3718</v>
      </c>
    </row>
    <row r="234" customFormat="false" ht="23.85" hidden="false" customHeight="false" outlineLevel="0" collapsed="false">
      <c r="A234" s="7" t="s">
        <v>1961</v>
      </c>
      <c r="B234" s="7" t="s">
        <v>1962</v>
      </c>
      <c r="C234" s="7" t="s">
        <v>1349</v>
      </c>
      <c r="D234" s="7" t="s">
        <v>613</v>
      </c>
      <c r="E234" s="7" t="s">
        <v>1963</v>
      </c>
      <c r="F234" s="7" t="s">
        <v>3666</v>
      </c>
      <c r="G234" s="7"/>
      <c r="H234" s="7"/>
      <c r="I234" s="7"/>
      <c r="J234" s="7" t="s">
        <v>3703</v>
      </c>
    </row>
    <row r="235" customFormat="false" ht="35.05" hidden="false" customHeight="false" outlineLevel="0" collapsed="false">
      <c r="A235" s="7" t="s">
        <v>1965</v>
      </c>
      <c r="B235" s="7" t="s">
        <v>1966</v>
      </c>
      <c r="C235" s="7" t="s">
        <v>1349</v>
      </c>
      <c r="D235" s="7" t="s">
        <v>613</v>
      </c>
      <c r="E235" s="7" t="s">
        <v>1967</v>
      </c>
      <c r="F235" s="7" t="s">
        <v>3667</v>
      </c>
      <c r="G235" s="7"/>
      <c r="H235" s="7"/>
      <c r="I235" s="7"/>
      <c r="J235" s="7" t="s">
        <v>3718</v>
      </c>
    </row>
    <row r="236" customFormat="false" ht="57.45" hidden="false" customHeight="false" outlineLevel="0" collapsed="false">
      <c r="A236" s="7" t="s">
        <v>1969</v>
      </c>
      <c r="B236" s="7" t="s">
        <v>1970</v>
      </c>
      <c r="C236" s="7" t="s">
        <v>1349</v>
      </c>
      <c r="D236" s="7" t="s">
        <v>613</v>
      </c>
      <c r="E236" s="7" t="s">
        <v>3719</v>
      </c>
      <c r="F236" s="7" t="s">
        <v>3667</v>
      </c>
      <c r="G236" s="7"/>
      <c r="H236" s="7"/>
      <c r="I236" s="7"/>
      <c r="J236" s="7" t="s">
        <v>3718</v>
      </c>
    </row>
    <row r="237" customFormat="false" ht="23.85" hidden="false" customHeight="false" outlineLevel="0" collapsed="false">
      <c r="A237" s="7" t="s">
        <v>1973</v>
      </c>
      <c r="B237" s="7" t="s">
        <v>1974</v>
      </c>
      <c r="C237" s="7" t="s">
        <v>1349</v>
      </c>
      <c r="D237" s="7" t="s">
        <v>613</v>
      </c>
      <c r="E237" s="7" t="s">
        <v>1975</v>
      </c>
      <c r="F237" s="7" t="s">
        <v>3667</v>
      </c>
      <c r="G237" s="7"/>
      <c r="H237" s="7"/>
      <c r="I237" s="7"/>
      <c r="J237" s="7" t="s">
        <v>3718</v>
      </c>
    </row>
    <row r="238" customFormat="false" ht="35.05" hidden="false" customHeight="false" outlineLevel="0" collapsed="false">
      <c r="A238" s="7" t="s">
        <v>1978</v>
      </c>
      <c r="B238" s="7" t="s">
        <v>1979</v>
      </c>
      <c r="C238" s="7" t="s">
        <v>1349</v>
      </c>
      <c r="D238" s="7" t="s">
        <v>1279</v>
      </c>
      <c r="E238" s="7" t="s">
        <v>1980</v>
      </c>
      <c r="F238" s="7" t="s">
        <v>3670</v>
      </c>
      <c r="G238" s="7"/>
      <c r="H238" s="7"/>
      <c r="I238" s="7"/>
      <c r="J238" s="7" t="s">
        <v>3704</v>
      </c>
    </row>
    <row r="239" customFormat="false" ht="23.85" hidden="false" customHeight="false" outlineLevel="0" collapsed="false">
      <c r="A239" s="7" t="s">
        <v>1983</v>
      </c>
      <c r="B239" s="7" t="s">
        <v>1984</v>
      </c>
      <c r="C239" s="7" t="s">
        <v>1349</v>
      </c>
      <c r="D239" s="7" t="s">
        <v>1279</v>
      </c>
      <c r="E239" s="7" t="s">
        <v>1985</v>
      </c>
      <c r="F239" s="7" t="s">
        <v>3670</v>
      </c>
      <c r="G239" s="7"/>
      <c r="H239" s="7"/>
      <c r="I239" s="7"/>
      <c r="J239" s="7" t="s">
        <v>3704</v>
      </c>
    </row>
    <row r="240" customFormat="false" ht="35.05" hidden="false" customHeight="false" outlineLevel="0" collapsed="false">
      <c r="A240" s="7" t="s">
        <v>1989</v>
      </c>
      <c r="B240" s="7" t="s">
        <v>1990</v>
      </c>
      <c r="C240" s="7" t="s">
        <v>1349</v>
      </c>
      <c r="D240" s="7" t="s">
        <v>623</v>
      </c>
      <c r="E240" s="7" t="s">
        <v>1991</v>
      </c>
      <c r="F240" s="7"/>
      <c r="G240" s="7" t="s">
        <v>133</v>
      </c>
      <c r="H240" s="7"/>
      <c r="I240" s="7"/>
      <c r="J240" s="7"/>
    </row>
    <row r="241" customFormat="false" ht="35.05" hidden="false" customHeight="false" outlineLevel="0" collapsed="false">
      <c r="A241" s="7" t="s">
        <v>1993</v>
      </c>
      <c r="B241" s="7" t="s">
        <v>1994</v>
      </c>
      <c r="C241" s="7" t="s">
        <v>1349</v>
      </c>
      <c r="D241" s="7" t="s">
        <v>623</v>
      </c>
      <c r="E241" s="7" t="s">
        <v>1995</v>
      </c>
      <c r="F241" s="7"/>
      <c r="G241" s="7" t="s">
        <v>133</v>
      </c>
      <c r="H241" s="7"/>
      <c r="I241" s="7"/>
      <c r="J241" s="7"/>
    </row>
    <row r="242" customFormat="false" ht="57.45" hidden="false" customHeight="false" outlineLevel="0" collapsed="false">
      <c r="A242" s="7" t="s">
        <v>1997</v>
      </c>
      <c r="B242" s="7" t="s">
        <v>1998</v>
      </c>
      <c r="C242" s="7" t="s">
        <v>1349</v>
      </c>
      <c r="D242" s="7" t="s">
        <v>623</v>
      </c>
      <c r="E242" s="7" t="s">
        <v>3720</v>
      </c>
      <c r="F242" s="7"/>
      <c r="G242" s="7" t="s">
        <v>133</v>
      </c>
      <c r="H242" s="7"/>
      <c r="I242" s="7"/>
      <c r="J242" s="7"/>
    </row>
    <row r="243" customFormat="false" ht="23.85" hidden="false" customHeight="false" outlineLevel="0" collapsed="false">
      <c r="A243" s="7" t="s">
        <v>2001</v>
      </c>
      <c r="B243" s="7" t="s">
        <v>2002</v>
      </c>
      <c r="C243" s="7" t="s">
        <v>1349</v>
      </c>
      <c r="D243" s="7" t="s">
        <v>623</v>
      </c>
      <c r="E243" s="7" t="s">
        <v>2003</v>
      </c>
      <c r="F243" s="7"/>
      <c r="G243" s="7" t="s">
        <v>133</v>
      </c>
      <c r="H243" s="7"/>
      <c r="I243" s="7"/>
      <c r="J243" s="7"/>
    </row>
    <row r="244" customFormat="false" ht="46.25" hidden="false" customHeight="false" outlineLevel="0" collapsed="false">
      <c r="A244" s="7" t="s">
        <v>2006</v>
      </c>
      <c r="B244" s="7" t="s">
        <v>2007</v>
      </c>
      <c r="C244" s="7" t="s">
        <v>1349</v>
      </c>
      <c r="D244" s="7" t="s">
        <v>623</v>
      </c>
      <c r="E244" s="7" t="s">
        <v>2008</v>
      </c>
      <c r="F244" s="7"/>
      <c r="G244" s="7" t="s">
        <v>133</v>
      </c>
      <c r="H244" s="7"/>
      <c r="I244" s="7"/>
      <c r="J244" s="7"/>
    </row>
  </sheetData>
  <autoFilter ref="A21:J2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5C58"/>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8"/>
    <col collapsed="false" customWidth="true" hidden="false" outlineLevel="0" max="4" min="4" style="0" width="22"/>
    <col collapsed="false" customWidth="true" hidden="false" outlineLevel="0" max="5" min="5" style="0" width="70"/>
    <col collapsed="false" customWidth="true" hidden="false" outlineLevel="0" max="6" min="6" style="0" width="50"/>
    <col collapsed="false" customWidth="true" hidden="false" outlineLevel="0" max="7" min="7" style="0" width="70"/>
  </cols>
  <sheetData>
    <row r="1" customFormat="false" ht="17.35" hidden="false" customHeight="false" outlineLevel="0" collapsed="false">
      <c r="A1" s="1" t="s">
        <v>3721</v>
      </c>
    </row>
    <row r="2" customFormat="false" ht="15" hidden="false" customHeight="false" outlineLevel="0" collapsed="false">
      <c r="A2" s="2" t="s">
        <v>3722</v>
      </c>
    </row>
    <row r="4" customFormat="false" ht="31.5" hidden="false" customHeight="true" outlineLevel="0" collapsed="false">
      <c r="A4" s="6" t="s">
        <v>3635</v>
      </c>
      <c r="B4" s="6" t="s">
        <v>119</v>
      </c>
      <c r="C4" s="6" t="s">
        <v>3723</v>
      </c>
      <c r="D4" s="6" t="s">
        <v>2586</v>
      </c>
      <c r="E4" s="6" t="s">
        <v>3724</v>
      </c>
      <c r="F4" s="6" t="s">
        <v>3725</v>
      </c>
      <c r="G4" s="6" t="s">
        <v>3726</v>
      </c>
    </row>
    <row r="5" customFormat="false" ht="15" hidden="false" customHeight="false" outlineLevel="0" collapsed="false">
      <c r="A5" s="7" t="n">
        <v>1</v>
      </c>
      <c r="B5" s="7" t="s">
        <v>1029</v>
      </c>
      <c r="C5" s="7" t="s">
        <v>3727</v>
      </c>
      <c r="D5" s="7" t="s">
        <v>3728</v>
      </c>
      <c r="E5" s="7" t="s">
        <v>3729</v>
      </c>
      <c r="F5" s="7" t="s">
        <v>3730</v>
      </c>
      <c r="G5" s="44" t="s">
        <v>3731</v>
      </c>
    </row>
    <row r="6" customFormat="false" ht="23.85" hidden="false" customHeight="false" outlineLevel="0" collapsed="false">
      <c r="A6" s="7" t="n">
        <v>2</v>
      </c>
      <c r="B6" s="7" t="s">
        <v>1029</v>
      </c>
      <c r="C6" s="7" t="s">
        <v>3732</v>
      </c>
      <c r="D6" s="7" t="s">
        <v>3728</v>
      </c>
      <c r="E6" s="7" t="s">
        <v>3733</v>
      </c>
      <c r="F6" s="7" t="s">
        <v>3734</v>
      </c>
      <c r="G6" s="44" t="s">
        <v>3731</v>
      </c>
    </row>
    <row r="7" customFormat="false" ht="23.85" hidden="false" customHeight="false" outlineLevel="0" collapsed="false">
      <c r="A7" s="7" t="n">
        <v>3</v>
      </c>
      <c r="B7" s="7" t="s">
        <v>1029</v>
      </c>
      <c r="C7" s="7" t="s">
        <v>3735</v>
      </c>
      <c r="D7" s="7" t="s">
        <v>3728</v>
      </c>
      <c r="E7" s="7" t="s">
        <v>3736</v>
      </c>
      <c r="F7" s="7" t="s">
        <v>3737</v>
      </c>
      <c r="G7" s="44" t="s">
        <v>3731</v>
      </c>
    </row>
    <row r="8" customFormat="false" ht="15" hidden="false" customHeight="false" outlineLevel="0" collapsed="false">
      <c r="A8" s="7" t="n">
        <v>4</v>
      </c>
      <c r="B8" s="7" t="s">
        <v>1029</v>
      </c>
      <c r="C8" s="7" t="s">
        <v>3738</v>
      </c>
      <c r="D8" s="7" t="s">
        <v>3739</v>
      </c>
      <c r="E8" s="7" t="s">
        <v>3740</v>
      </c>
      <c r="F8" s="7" t="s">
        <v>3741</v>
      </c>
      <c r="G8" s="44" t="s">
        <v>3742</v>
      </c>
    </row>
    <row r="9" customFormat="false" ht="15" hidden="false" customHeight="false" outlineLevel="0" collapsed="false">
      <c r="A9" s="7" t="n">
        <v>5</v>
      </c>
      <c r="B9" s="7" t="s">
        <v>1029</v>
      </c>
      <c r="C9" s="7" t="s">
        <v>3743</v>
      </c>
      <c r="D9" s="7" t="s">
        <v>2412</v>
      </c>
      <c r="E9" s="7" t="s">
        <v>3744</v>
      </c>
      <c r="F9" s="7" t="s">
        <v>3745</v>
      </c>
      <c r="G9" s="44" t="s">
        <v>3746</v>
      </c>
    </row>
    <row r="10" customFormat="false" ht="15" hidden="false" customHeight="false" outlineLevel="0" collapsed="false">
      <c r="A10" s="7" t="n">
        <v>6</v>
      </c>
      <c r="B10" s="7" t="s">
        <v>1349</v>
      </c>
      <c r="C10" s="7" t="s">
        <v>3747</v>
      </c>
      <c r="D10" s="7" t="s">
        <v>3728</v>
      </c>
      <c r="E10" s="7" t="s">
        <v>3748</v>
      </c>
      <c r="F10" s="7" t="s">
        <v>3749</v>
      </c>
      <c r="G10" s="44" t="s">
        <v>3750</v>
      </c>
    </row>
    <row r="11" customFormat="false" ht="23.85" hidden="false" customHeight="false" outlineLevel="0" collapsed="false">
      <c r="A11" s="7" t="n">
        <v>7</v>
      </c>
      <c r="B11" s="7" t="s">
        <v>1349</v>
      </c>
      <c r="C11" s="7" t="s">
        <v>3751</v>
      </c>
      <c r="D11" s="7" t="s">
        <v>3728</v>
      </c>
      <c r="E11" s="7" t="s">
        <v>3752</v>
      </c>
      <c r="F11" s="7" t="s">
        <v>3753</v>
      </c>
      <c r="G11" s="44" t="s">
        <v>3750</v>
      </c>
    </row>
    <row r="12" customFormat="false" ht="23.85" hidden="false" customHeight="false" outlineLevel="0" collapsed="false">
      <c r="A12" s="7" t="n">
        <v>8</v>
      </c>
      <c r="B12" s="7" t="s">
        <v>1349</v>
      </c>
      <c r="C12" s="7" t="s">
        <v>3754</v>
      </c>
      <c r="D12" s="7" t="s">
        <v>3755</v>
      </c>
      <c r="E12" s="7" t="s">
        <v>3756</v>
      </c>
      <c r="F12" s="7" t="s">
        <v>3757</v>
      </c>
      <c r="G12" s="44" t="s">
        <v>3750</v>
      </c>
    </row>
    <row r="13" customFormat="false" ht="23.85" hidden="false" customHeight="false" outlineLevel="0" collapsed="false">
      <c r="A13" s="7" t="n">
        <v>9</v>
      </c>
      <c r="B13" s="7" t="s">
        <v>1349</v>
      </c>
      <c r="C13" s="7" t="s">
        <v>3758</v>
      </c>
      <c r="D13" s="7" t="s">
        <v>3755</v>
      </c>
      <c r="E13" s="7" t="s">
        <v>3759</v>
      </c>
      <c r="F13" s="7" t="s">
        <v>3760</v>
      </c>
      <c r="G13" s="44" t="s">
        <v>3750</v>
      </c>
    </row>
    <row r="14" customFormat="false" ht="23.85" hidden="false" customHeight="false" outlineLevel="0" collapsed="false">
      <c r="A14" s="7" t="n">
        <v>10</v>
      </c>
      <c r="B14" s="7" t="s">
        <v>1349</v>
      </c>
      <c r="C14" s="7" t="s">
        <v>3761</v>
      </c>
      <c r="D14" s="7" t="s">
        <v>3755</v>
      </c>
      <c r="E14" s="7" t="s">
        <v>3762</v>
      </c>
      <c r="F14" s="7" t="s">
        <v>3763</v>
      </c>
      <c r="G14" s="44" t="s">
        <v>3750</v>
      </c>
    </row>
    <row r="15" customFormat="false" ht="23.85" hidden="false" customHeight="false" outlineLevel="0" collapsed="false">
      <c r="A15" s="7" t="n">
        <v>11</v>
      </c>
      <c r="B15" s="7" t="s">
        <v>1349</v>
      </c>
      <c r="C15" s="7" t="s">
        <v>3764</v>
      </c>
      <c r="D15" s="7" t="s">
        <v>3755</v>
      </c>
      <c r="E15" s="7" t="s">
        <v>3765</v>
      </c>
      <c r="F15" s="7" t="s">
        <v>3766</v>
      </c>
      <c r="G15" s="44" t="s">
        <v>3750</v>
      </c>
    </row>
    <row r="16" customFormat="false" ht="23.85" hidden="false" customHeight="false" outlineLevel="0" collapsed="false">
      <c r="A16" s="7" t="n">
        <v>12</v>
      </c>
      <c r="B16" s="7" t="s">
        <v>1349</v>
      </c>
      <c r="C16" s="7" t="s">
        <v>3767</v>
      </c>
      <c r="D16" s="7" t="s">
        <v>3755</v>
      </c>
      <c r="E16" s="7" t="s">
        <v>3768</v>
      </c>
      <c r="F16" s="7" t="s">
        <v>3769</v>
      </c>
      <c r="G16" s="44" t="s">
        <v>3750</v>
      </c>
    </row>
    <row r="17" customFormat="false" ht="23.85" hidden="false" customHeight="false" outlineLevel="0" collapsed="false">
      <c r="A17" s="7" t="n">
        <v>13</v>
      </c>
      <c r="B17" s="7" t="s">
        <v>1349</v>
      </c>
      <c r="C17" s="7" t="s">
        <v>3770</v>
      </c>
      <c r="D17" s="7" t="s">
        <v>3755</v>
      </c>
      <c r="E17" s="7" t="s">
        <v>3771</v>
      </c>
      <c r="F17" s="7" t="s">
        <v>3772</v>
      </c>
      <c r="G17" s="44" t="s">
        <v>3750</v>
      </c>
    </row>
    <row r="18" customFormat="false" ht="15" hidden="false" customHeight="false" outlineLevel="0" collapsed="false">
      <c r="A18" s="7" t="n">
        <v>14</v>
      </c>
      <c r="B18" s="7" t="s">
        <v>1349</v>
      </c>
      <c r="C18" s="7" t="s">
        <v>3773</v>
      </c>
      <c r="D18" s="7" t="s">
        <v>3774</v>
      </c>
      <c r="E18" s="7" t="s">
        <v>3775</v>
      </c>
      <c r="F18" s="7" t="s">
        <v>3776</v>
      </c>
      <c r="G18" s="44" t="s">
        <v>3777</v>
      </c>
    </row>
    <row r="19" customFormat="false" ht="23.85" hidden="false" customHeight="false" outlineLevel="0" collapsed="false">
      <c r="A19" s="7" t="n">
        <v>15</v>
      </c>
      <c r="B19" s="7" t="s">
        <v>3778</v>
      </c>
      <c r="C19" s="7" t="s">
        <v>3779</v>
      </c>
      <c r="D19" s="7" t="s">
        <v>3728</v>
      </c>
      <c r="E19" s="7" t="s">
        <v>3780</v>
      </c>
      <c r="F19" s="7" t="s">
        <v>3781</v>
      </c>
      <c r="G19" s="44" t="s">
        <v>3782</v>
      </c>
    </row>
    <row r="20" customFormat="false" ht="23.85" hidden="false" customHeight="false" outlineLevel="0" collapsed="false">
      <c r="A20" s="7" t="n">
        <v>16</v>
      </c>
      <c r="B20" s="7" t="s">
        <v>3778</v>
      </c>
      <c r="C20" s="7" t="s">
        <v>3783</v>
      </c>
      <c r="D20" s="7" t="s">
        <v>3728</v>
      </c>
      <c r="E20" s="7" t="s">
        <v>3784</v>
      </c>
      <c r="F20" s="7" t="s">
        <v>3785</v>
      </c>
      <c r="G20" s="44" t="s">
        <v>3786</v>
      </c>
    </row>
    <row r="21" customFormat="false" ht="23.85" hidden="false" customHeight="false" outlineLevel="0" collapsed="false">
      <c r="A21" s="7" t="n">
        <v>17</v>
      </c>
      <c r="B21" s="7" t="s">
        <v>3778</v>
      </c>
      <c r="C21" s="7" t="s">
        <v>3787</v>
      </c>
      <c r="D21" s="7" t="s">
        <v>3728</v>
      </c>
      <c r="E21" s="7" t="s">
        <v>3788</v>
      </c>
      <c r="F21" s="7" t="s">
        <v>3789</v>
      </c>
      <c r="G21" s="44" t="s">
        <v>3790</v>
      </c>
    </row>
    <row r="22" customFormat="false" ht="23.85" hidden="false" customHeight="false" outlineLevel="0" collapsed="false">
      <c r="A22" s="7" t="n">
        <v>18</v>
      </c>
      <c r="B22" s="7" t="s">
        <v>3778</v>
      </c>
      <c r="C22" s="7" t="s">
        <v>3791</v>
      </c>
      <c r="D22" s="7" t="s">
        <v>3728</v>
      </c>
      <c r="E22" s="7" t="s">
        <v>3792</v>
      </c>
      <c r="F22" s="7" t="s">
        <v>3793</v>
      </c>
      <c r="G22" s="44" t="s">
        <v>3794</v>
      </c>
    </row>
    <row r="23" customFormat="false" ht="23.85" hidden="false" customHeight="false" outlineLevel="0" collapsed="false">
      <c r="A23" s="7" t="n">
        <v>19</v>
      </c>
      <c r="B23" s="7" t="s">
        <v>3778</v>
      </c>
      <c r="C23" s="7" t="s">
        <v>3795</v>
      </c>
      <c r="D23" s="7" t="s">
        <v>3728</v>
      </c>
      <c r="E23" s="7" t="s">
        <v>3796</v>
      </c>
      <c r="F23" s="7" t="s">
        <v>3797</v>
      </c>
      <c r="G23" s="44" t="s">
        <v>3798</v>
      </c>
    </row>
    <row r="24" customFormat="false" ht="68.65" hidden="false" customHeight="false" outlineLevel="0" collapsed="false">
      <c r="A24" s="7" t="n">
        <v>20</v>
      </c>
      <c r="B24" s="7" t="s">
        <v>3799</v>
      </c>
      <c r="C24" s="7" t="s">
        <v>3800</v>
      </c>
      <c r="D24" s="7" t="s">
        <v>3739</v>
      </c>
      <c r="E24" s="7" t="s">
        <v>3801</v>
      </c>
      <c r="F24" s="7" t="s">
        <v>3802</v>
      </c>
      <c r="G24" s="44" t="s">
        <v>3803</v>
      </c>
    </row>
    <row r="25" customFormat="false" ht="23.85" hidden="false" customHeight="false" outlineLevel="0" collapsed="false">
      <c r="A25" s="7" t="n">
        <v>21</v>
      </c>
      <c r="B25" s="7" t="s">
        <v>3804</v>
      </c>
      <c r="C25" s="7" t="s">
        <v>3805</v>
      </c>
      <c r="D25" s="7" t="s">
        <v>3806</v>
      </c>
      <c r="E25" s="7" t="s">
        <v>3807</v>
      </c>
      <c r="F25" s="7" t="s">
        <v>3808</v>
      </c>
      <c r="G25" s="7"/>
    </row>
    <row r="26" customFormat="false" ht="23.85" hidden="false" customHeight="false" outlineLevel="0" collapsed="false">
      <c r="A26" s="7" t="n">
        <v>22</v>
      </c>
      <c r="B26" s="7" t="s">
        <v>3804</v>
      </c>
      <c r="C26" s="7" t="s">
        <v>2024</v>
      </c>
      <c r="D26" s="7" t="s">
        <v>3806</v>
      </c>
      <c r="E26" s="7" t="s">
        <v>3809</v>
      </c>
      <c r="F26" s="7" t="s">
        <v>3808</v>
      </c>
      <c r="G26" s="7"/>
    </row>
    <row r="27" customFormat="false" ht="23.85" hidden="false" customHeight="false" outlineLevel="0" collapsed="false">
      <c r="A27" s="7" t="n">
        <v>23</v>
      </c>
      <c r="B27" s="7" t="s">
        <v>3804</v>
      </c>
      <c r="C27" s="7" t="s">
        <v>3810</v>
      </c>
      <c r="D27" s="7" t="s">
        <v>3806</v>
      </c>
      <c r="E27" s="7" t="s">
        <v>3811</v>
      </c>
      <c r="F27" s="7" t="s">
        <v>3808</v>
      </c>
      <c r="G27" s="7"/>
    </row>
    <row r="28" customFormat="false" ht="23.85" hidden="false" customHeight="false" outlineLevel="0" collapsed="false">
      <c r="A28" s="7" t="n">
        <v>24</v>
      </c>
      <c r="B28" s="7" t="s">
        <v>3804</v>
      </c>
      <c r="C28" s="7" t="s">
        <v>3812</v>
      </c>
      <c r="D28" s="7" t="s">
        <v>3806</v>
      </c>
      <c r="E28" s="7" t="s">
        <v>3813</v>
      </c>
      <c r="F28" s="7" t="s">
        <v>3808</v>
      </c>
      <c r="G28" s="7"/>
    </row>
    <row r="29" customFormat="false" ht="15" hidden="false" customHeight="false" outlineLevel="0" collapsed="false">
      <c r="A29" s="7" t="n">
        <v>25</v>
      </c>
      <c r="B29" s="7" t="s">
        <v>3814</v>
      </c>
      <c r="C29" s="7" t="s">
        <v>3815</v>
      </c>
      <c r="D29" s="7" t="s">
        <v>3816</v>
      </c>
      <c r="E29" s="7" t="s">
        <v>3817</v>
      </c>
      <c r="F29" s="7" t="s">
        <v>3818</v>
      </c>
      <c r="G29" s="7"/>
    </row>
    <row r="30" customFormat="false" ht="23.85" hidden="false" customHeight="false" outlineLevel="0" collapsed="false">
      <c r="A30" s="7" t="n">
        <v>26</v>
      </c>
      <c r="B30" s="7" t="s">
        <v>3819</v>
      </c>
      <c r="C30" s="7" t="s">
        <v>3820</v>
      </c>
      <c r="D30" s="7" t="s">
        <v>3821</v>
      </c>
      <c r="E30" s="7" t="s">
        <v>3822</v>
      </c>
      <c r="F30" s="7"/>
      <c r="G30" s="7"/>
    </row>
    <row r="31" customFormat="false" ht="23.85" hidden="false" customHeight="false" outlineLevel="0" collapsed="false">
      <c r="A31" s="7" t="n">
        <v>27</v>
      </c>
      <c r="B31" s="7" t="s">
        <v>3819</v>
      </c>
      <c r="C31" s="7" t="s">
        <v>3823</v>
      </c>
      <c r="D31" s="7" t="s">
        <v>3821</v>
      </c>
      <c r="E31" s="7" t="s">
        <v>3824</v>
      </c>
      <c r="F31" s="7"/>
      <c r="G31" s="7"/>
    </row>
    <row r="32" customFormat="false" ht="23.85" hidden="false" customHeight="false" outlineLevel="0" collapsed="false">
      <c r="A32" s="7" t="n">
        <v>28</v>
      </c>
      <c r="B32" s="7" t="s">
        <v>3819</v>
      </c>
      <c r="C32" s="7" t="s">
        <v>3825</v>
      </c>
      <c r="D32" s="7" t="s">
        <v>3821</v>
      </c>
      <c r="E32" s="7" t="s">
        <v>3826</v>
      </c>
      <c r="F32" s="7"/>
      <c r="G32" s="7"/>
    </row>
    <row r="33" customFormat="false" ht="23.85" hidden="false" customHeight="false" outlineLevel="0" collapsed="false">
      <c r="A33" s="7" t="n">
        <v>29</v>
      </c>
      <c r="B33" s="7" t="s">
        <v>3819</v>
      </c>
      <c r="C33" s="7" t="s">
        <v>3827</v>
      </c>
      <c r="D33" s="7" t="s">
        <v>3821</v>
      </c>
      <c r="E33" s="7" t="s">
        <v>3828</v>
      </c>
      <c r="F33" s="7"/>
      <c r="G33" s="7"/>
    </row>
    <row r="34" customFormat="false" ht="102.2" hidden="false" customHeight="false" outlineLevel="0" collapsed="false">
      <c r="A34" s="7" t="n">
        <v>30</v>
      </c>
      <c r="B34" s="7" t="s">
        <v>3819</v>
      </c>
      <c r="C34" s="7" t="s">
        <v>3829</v>
      </c>
      <c r="D34" s="7" t="s">
        <v>3821</v>
      </c>
      <c r="E34" s="7" t="s">
        <v>3830</v>
      </c>
      <c r="F34" s="7"/>
      <c r="G34" s="7"/>
    </row>
  </sheetData>
  <autoFilter ref="A4:G34"/>
  <hyperlinks>
    <hyperlink ref="G5" r:id="rId1" display="https://www.gov.br/cgu/pt-br/assuntos/integridade-privada/pacto-brasil/arquivos/documentos-constitutivos"/>
    <hyperlink ref="G6" r:id="rId2" display="https://www.gov.br/cgu/pt-br/assuntos/integridade-privada/pacto-brasil/arquivos/documentos-constitutivos"/>
    <hyperlink ref="G7" r:id="rId3" display="https://www.gov.br/cgu/pt-br/assuntos/integridade-privada/pacto-brasil/arquivos/documentos-constitutivos"/>
    <hyperlink ref="G8" r:id="rId4" display="https://www.gov.br/cgu/pt-br/assuntos/integridade-privada/pacto-brasil/guia-de-autoavaliacao-pacto-brasil.pdf"/>
    <hyperlink ref="G9" r:id="rId5" display="https://www.gov.br/cgu/pt-br/assuntos/integridade-privada/pacto-brasil"/>
    <hyperlink ref="G10" r:id="rId6" display="https://www.gov.br/cgu/pt-br/assuntos/integridade-privada/avaliacao-e-promocao-da-integridade-privada/empresa-pro-etica/documentos"/>
    <hyperlink ref="G11" r:id="rId7" display="https://www.gov.br/cgu/pt-br/assuntos/integridade-privada/avaliacao-e-promocao-da-integridade-privada/empresa-pro-etica/documentos"/>
    <hyperlink ref="G12" r:id="rId8" display="https://www.gov.br/cgu/pt-br/assuntos/integridade-privada/avaliacao-e-promocao-da-integridade-privada/empresa-pro-etica/documentos"/>
    <hyperlink ref="G13" r:id="rId9" display="https://www.gov.br/cgu/pt-br/assuntos/integridade-privada/avaliacao-e-promocao-da-integridade-privada/empresa-pro-etica/documentos"/>
    <hyperlink ref="G14" r:id="rId10" display="https://www.gov.br/cgu/pt-br/assuntos/integridade-privada/avaliacao-e-promocao-da-integridade-privada/empresa-pro-etica/documentos"/>
    <hyperlink ref="G15" r:id="rId11" display="https://www.gov.br/cgu/pt-br/assuntos/integridade-privada/avaliacao-e-promocao-da-integridade-privada/empresa-pro-etica/documentos"/>
    <hyperlink ref="G16" r:id="rId12" display="https://www.gov.br/cgu/pt-br/assuntos/integridade-privada/avaliacao-e-promocao-da-integridade-privada/empresa-pro-etica/documentos"/>
    <hyperlink ref="G17" r:id="rId13" display="https://www.gov.br/cgu/pt-br/assuntos/integridade-privada/avaliacao-e-promocao-da-integridade-privada/empresa-pro-etica/documentos"/>
    <hyperlink ref="G18" r:id="rId14" display="https://sampi.cgu.gov.br/signin"/>
    <hyperlink ref="G19" r:id="rId15" display="https://www.planalto.gov.br/ccivil_03/_ato2011-2014/2013/lei/l12846.htm"/>
    <hyperlink ref="G20" r:id="rId16" display="https://www.planalto.gov.br/ccivil_03/_ato2019-2022/2022/decreto/d11129.htm"/>
    <hyperlink ref="G21" r:id="rId17" display="https://www.planalto.gov.br/ccivil_03/_ato2019-2022/2021/lei/l14133.htm"/>
    <hyperlink ref="G22" r:id="rId18" display="https://www.planalto.gov.br/ccivil_03/_ato2023-2026/2024/decreto/d12304.htm"/>
    <hyperlink ref="G23" r:id="rId19" display="https://www.gov.br/cgu/pt-br/assuntos/integridade-privada/materiaisdeorientacao/normativos"/>
    <hyperlink ref="G24" r:id="rId20" display="https://www.gov.br/cgu/pt-br/assuntos/integridade-privada/materiaisdeorientacao/manuais/programa-de-integridade-diretrizes-para-empresas-privadas-vol-ii-20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2026-10-03T14:56:33Z</dcterms:created>
  <dc:creator>openpyxl</dc:creator>
  <dc:description/>
  <dc:language>en-US</dc:language>
  <cp:lastModifiedBy/>
  <dcterms:modified xsi:type="dcterms:W3CDTF">2026-10-03T14:56:34Z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